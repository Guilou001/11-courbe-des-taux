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Courbe" sheetId="2" state="visible" r:id="rId2"/>
    <sheet name="Obligation" sheetId="3" state="visible" r:id="rId3"/>
    <sheet name="Cho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Classeur de calculs obligataires sur la courbe zéro-coupon de la Banque du Canada.</t>
        </is>
      </c>
    </row>
    <row r="2">
      <c r="A2" t="inlineStr">
        <is>
          <t>Courbe du 2026-08-12 (source : bankofcanada.ca, décimales converties en %).</t>
        </is>
      </c>
    </row>
    <row r="3">
      <c r="A3" t="inlineStr">
        <is>
          <t>Convention : composition continue, facteur d'actualisation EXP(-z*t) (BIS Papers 25).</t>
        </is>
      </c>
    </row>
    <row r="4">
      <c r="A4" t="inlineStr">
        <is>
          <t>Feuille Obligation : changez le coupon (B2) ou l'échéance (B3), tout se recalcule.</t>
        </is>
      </c>
    </row>
    <row r="5">
      <c r="A5" t="inlineStr">
        <is>
          <t>L'échéance est arrondie au pas de coupon le plus proche (0,5 an par défaut) et plafonne à 30 ans.</t>
        </is>
      </c>
    </row>
    <row r="6">
      <c r="A6" t="inlineStr">
        <is>
          <t>Feuille Chocs : les six scénarios IRRBB (CAD : 200/275/175 pb, BCBS d578 2024) revalorisent l'obligation.</t>
        </is>
      </c>
    </row>
    <row r="7">
      <c r="A7" t="inlineStr">
        <is>
          <t>Les formules sont vivantes : aucun chiffre collé, tout part de la feuille Courbe.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Échéance (années)</t>
        </is>
      </c>
      <c r="B1" s="1" t="inlineStr">
        <is>
          <t>Taux zéro (%)</t>
        </is>
      </c>
    </row>
    <row r="2">
      <c r="A2" t="n">
        <v>0.25</v>
      </c>
      <c r="B2" t="n">
        <v>2.2948</v>
      </c>
    </row>
    <row r="3">
      <c r="A3" t="n">
        <v>0.5</v>
      </c>
      <c r="B3" t="n">
        <v>2.4131</v>
      </c>
    </row>
    <row r="4">
      <c r="A4" t="n">
        <v>0.75</v>
      </c>
      <c r="B4" t="n">
        <v>2.5326</v>
      </c>
    </row>
    <row r="5">
      <c r="A5" t="n">
        <v>1</v>
      </c>
      <c r="B5" t="n">
        <v>2.6516</v>
      </c>
    </row>
    <row r="6">
      <c r="A6" t="n">
        <v>1.25</v>
      </c>
      <c r="B6" t="n">
        <v>2.7697</v>
      </c>
    </row>
    <row r="7">
      <c r="A7" t="n">
        <v>1.5</v>
      </c>
      <c r="B7" t="n">
        <v>2.839</v>
      </c>
    </row>
    <row r="8">
      <c r="A8" t="n">
        <v>1.75</v>
      </c>
      <c r="B8" t="n">
        <v>2.8987</v>
      </c>
    </row>
    <row r="9">
      <c r="A9" t="n">
        <v>2</v>
      </c>
      <c r="B9" t="n">
        <v>2.9506</v>
      </c>
    </row>
    <row r="10">
      <c r="A10" t="n">
        <v>2.25</v>
      </c>
      <c r="B10" t="n">
        <v>2.9962</v>
      </c>
    </row>
    <row r="11">
      <c r="A11" t="n">
        <v>2.5</v>
      </c>
      <c r="B11" t="n">
        <v>3.0364</v>
      </c>
    </row>
    <row r="12">
      <c r="A12" t="n">
        <v>2.75</v>
      </c>
      <c r="B12" t="n">
        <v>3.0725</v>
      </c>
    </row>
    <row r="13">
      <c r="A13" t="n">
        <v>3</v>
      </c>
      <c r="B13" t="n">
        <v>3.1052</v>
      </c>
    </row>
    <row r="14">
      <c r="A14" t="n">
        <v>3.25</v>
      </c>
      <c r="B14" t="n">
        <v>3.1352</v>
      </c>
    </row>
    <row r="15">
      <c r="A15" t="n">
        <v>3.5</v>
      </c>
      <c r="B15" t="n">
        <v>3.163</v>
      </c>
    </row>
    <row r="16">
      <c r="A16" t="n">
        <v>3.75</v>
      </c>
      <c r="B16" t="n">
        <v>3.1893</v>
      </c>
    </row>
    <row r="17">
      <c r="A17" t="n">
        <v>4</v>
      </c>
      <c r="B17" t="n">
        <v>3.2142</v>
      </c>
    </row>
    <row r="18">
      <c r="A18" t="n">
        <v>4.25</v>
      </c>
      <c r="B18" t="n">
        <v>3.2383</v>
      </c>
    </row>
    <row r="19">
      <c r="A19" t="n">
        <v>4.5</v>
      </c>
      <c r="B19" t="n">
        <v>3.2616</v>
      </c>
    </row>
    <row r="20">
      <c r="A20" t="n">
        <v>4.75</v>
      </c>
      <c r="B20" t="n">
        <v>3.2843</v>
      </c>
    </row>
    <row r="21">
      <c r="A21" t="n">
        <v>5</v>
      </c>
      <c r="B21" t="n">
        <v>3.3067</v>
      </c>
    </row>
    <row r="22">
      <c r="A22" t="n">
        <v>5.25</v>
      </c>
      <c r="B22" t="n">
        <v>3.3288</v>
      </c>
    </row>
    <row r="23">
      <c r="A23" t="n">
        <v>5.5</v>
      </c>
      <c r="B23" t="n">
        <v>3.3507</v>
      </c>
    </row>
    <row r="24">
      <c r="A24" t="n">
        <v>5.75</v>
      </c>
      <c r="B24" t="n">
        <v>3.3724</v>
      </c>
    </row>
    <row r="25">
      <c r="A25" t="n">
        <v>6</v>
      </c>
      <c r="B25" t="n">
        <v>3.394</v>
      </c>
    </row>
    <row r="26">
      <c r="A26" t="n">
        <v>6.25</v>
      </c>
      <c r="B26" t="n">
        <v>3.4154</v>
      </c>
    </row>
    <row r="27">
      <c r="A27" t="n">
        <v>6.5</v>
      </c>
      <c r="B27" t="n">
        <v>3.4367</v>
      </c>
    </row>
    <row r="28">
      <c r="A28" t="n">
        <v>6.75</v>
      </c>
      <c r="B28" t="n">
        <v>3.4578</v>
      </c>
    </row>
    <row r="29">
      <c r="A29" t="n">
        <v>7</v>
      </c>
      <c r="B29" t="n">
        <v>3.4787</v>
      </c>
    </row>
    <row r="30">
      <c r="A30" t="n">
        <v>7.25</v>
      </c>
      <c r="B30" t="n">
        <v>3.4995</v>
      </c>
    </row>
    <row r="31">
      <c r="A31" t="n">
        <v>7.5</v>
      </c>
      <c r="B31" t="n">
        <v>3.5199</v>
      </c>
    </row>
    <row r="32">
      <c r="A32" t="n">
        <v>7.75</v>
      </c>
      <c r="B32" t="n">
        <v>3.5401</v>
      </c>
    </row>
    <row r="33">
      <c r="A33" t="n">
        <v>8</v>
      </c>
      <c r="B33" t="n">
        <v>3.56</v>
      </c>
    </row>
    <row r="34">
      <c r="A34" t="n">
        <v>8.25</v>
      </c>
      <c r="B34" t="n">
        <v>3.5796</v>
      </c>
    </row>
    <row r="35">
      <c r="A35" t="n">
        <v>8.5</v>
      </c>
      <c r="B35" t="n">
        <v>3.5987</v>
      </c>
    </row>
    <row r="36">
      <c r="A36" t="n">
        <v>8.75</v>
      </c>
      <c r="B36" t="n">
        <v>3.6175</v>
      </c>
    </row>
    <row r="37">
      <c r="A37" t="n">
        <v>9</v>
      </c>
      <c r="B37" t="n">
        <v>3.6358</v>
      </c>
    </row>
    <row r="38">
      <c r="A38" t="n">
        <v>9.25</v>
      </c>
      <c r="B38" t="n">
        <v>3.6536</v>
      </c>
    </row>
    <row r="39">
      <c r="A39" t="n">
        <v>9.5</v>
      </c>
      <c r="B39" t="n">
        <v>3.671</v>
      </c>
    </row>
    <row r="40">
      <c r="A40" t="n">
        <v>9.75</v>
      </c>
      <c r="B40" t="n">
        <v>3.6879</v>
      </c>
    </row>
    <row r="41">
      <c r="A41" t="n">
        <v>10</v>
      </c>
      <c r="B41" t="n">
        <v>3.7042</v>
      </c>
    </row>
    <row r="42">
      <c r="A42" t="n">
        <v>10.25</v>
      </c>
      <c r="B42" t="n">
        <v>3.7201</v>
      </c>
    </row>
    <row r="43">
      <c r="A43" t="n">
        <v>10.5</v>
      </c>
      <c r="B43" t="n">
        <v>3.7353</v>
      </c>
    </row>
    <row r="44">
      <c r="A44" t="n">
        <v>10.75</v>
      </c>
      <c r="B44" t="n">
        <v>3.7501</v>
      </c>
    </row>
    <row r="45">
      <c r="A45" t="n">
        <v>11</v>
      </c>
      <c r="B45" t="n">
        <v>3.7643</v>
      </c>
    </row>
    <row r="46">
      <c r="A46" t="n">
        <v>11.25</v>
      </c>
      <c r="B46" t="n">
        <v>3.7779</v>
      </c>
    </row>
    <row r="47">
      <c r="A47" t="n">
        <v>11.5</v>
      </c>
      <c r="B47" t="n">
        <v>3.791</v>
      </c>
    </row>
    <row r="48">
      <c r="A48" t="n">
        <v>11.75</v>
      </c>
      <c r="B48" t="n">
        <v>3.8036</v>
      </c>
    </row>
    <row r="49">
      <c r="A49" t="n">
        <v>12</v>
      </c>
      <c r="B49" t="n">
        <v>3.8156</v>
      </c>
    </row>
    <row r="50">
      <c r="A50" t="n">
        <v>12.25</v>
      </c>
      <c r="B50" t="n">
        <v>3.8271</v>
      </c>
    </row>
    <row r="51">
      <c r="A51" t="n">
        <v>12.5</v>
      </c>
      <c r="B51" t="n">
        <v>3.8381</v>
      </c>
    </row>
    <row r="52">
      <c r="A52" t="n">
        <v>12.75</v>
      </c>
      <c r="B52" t="n">
        <v>3.8486</v>
      </c>
    </row>
    <row r="53">
      <c r="A53" t="n">
        <v>13</v>
      </c>
      <c r="B53" t="n">
        <v>3.8586</v>
      </c>
    </row>
    <row r="54">
      <c r="A54" t="n">
        <v>13.25</v>
      </c>
      <c r="B54" t="n">
        <v>3.8682</v>
      </c>
    </row>
    <row r="55">
      <c r="A55" t="n">
        <v>13.5</v>
      </c>
      <c r="B55" t="n">
        <v>3.8773</v>
      </c>
    </row>
    <row r="56">
      <c r="A56" t="n">
        <v>13.75</v>
      </c>
      <c r="B56" t="n">
        <v>3.886</v>
      </c>
    </row>
    <row r="57">
      <c r="A57" t="n">
        <v>14</v>
      </c>
      <c r="B57" t="n">
        <v>3.8942</v>
      </c>
    </row>
    <row r="58">
      <c r="A58" t="n">
        <v>14.25</v>
      </c>
      <c r="B58" t="n">
        <v>3.9021</v>
      </c>
    </row>
    <row r="59">
      <c r="A59" t="n">
        <v>14.5</v>
      </c>
      <c r="B59" t="n">
        <v>3.9096</v>
      </c>
    </row>
    <row r="60">
      <c r="A60" t="n">
        <v>14.75</v>
      </c>
      <c r="B60" t="n">
        <v>3.9168</v>
      </c>
    </row>
    <row r="61">
      <c r="A61" t="n">
        <v>15</v>
      </c>
      <c r="B61" t="n">
        <v>3.9236</v>
      </c>
    </row>
    <row r="62">
      <c r="A62" t="n">
        <v>15.25</v>
      </c>
      <c r="B62" t="n">
        <v>3.9302</v>
      </c>
    </row>
    <row r="63">
      <c r="A63" t="n">
        <v>15.5</v>
      </c>
      <c r="B63" t="n">
        <v>3.9364</v>
      </c>
    </row>
    <row r="64">
      <c r="A64" t="n">
        <v>15.75</v>
      </c>
      <c r="B64" t="n">
        <v>3.9424</v>
      </c>
    </row>
    <row r="65">
      <c r="A65" t="n">
        <v>16</v>
      </c>
      <c r="B65" t="n">
        <v>3.9481</v>
      </c>
    </row>
    <row r="66">
      <c r="A66" t="n">
        <v>16.25</v>
      </c>
      <c r="B66" t="n">
        <v>3.9536</v>
      </c>
    </row>
    <row r="67">
      <c r="A67" t="n">
        <v>16.5</v>
      </c>
      <c r="B67" t="n">
        <v>3.9589</v>
      </c>
    </row>
    <row r="68">
      <c r="A68" t="n">
        <v>16.75</v>
      </c>
      <c r="B68" t="n">
        <v>3.964</v>
      </c>
    </row>
    <row r="69">
      <c r="A69" t="n">
        <v>17</v>
      </c>
      <c r="B69" t="n">
        <v>3.969</v>
      </c>
    </row>
    <row r="70">
      <c r="A70" t="n">
        <v>17.25</v>
      </c>
      <c r="B70" t="n">
        <v>3.9737</v>
      </c>
    </row>
    <row r="71">
      <c r="A71" t="n">
        <v>17.5</v>
      </c>
      <c r="B71" t="n">
        <v>3.9784</v>
      </c>
    </row>
    <row r="72">
      <c r="A72" t="n">
        <v>17.75</v>
      </c>
      <c r="B72" t="n">
        <v>3.9829</v>
      </c>
    </row>
    <row r="73">
      <c r="A73" t="n">
        <v>18</v>
      </c>
      <c r="B73" t="n">
        <v>3.9873</v>
      </c>
    </row>
    <row r="74">
      <c r="A74" t="n">
        <v>18.25</v>
      </c>
      <c r="B74" t="n">
        <v>3.9916</v>
      </c>
    </row>
    <row r="75">
      <c r="A75" t="n">
        <v>18.5</v>
      </c>
      <c r="B75" t="n">
        <v>3.9959</v>
      </c>
    </row>
    <row r="76">
      <c r="A76" t="n">
        <v>18.75</v>
      </c>
      <c r="B76" t="n">
        <v>4</v>
      </c>
    </row>
    <row r="77">
      <c r="A77" t="n">
        <v>19</v>
      </c>
      <c r="B77" t="n">
        <v>4.0042</v>
      </c>
    </row>
    <row r="78">
      <c r="A78" t="n">
        <v>19.25</v>
      </c>
      <c r="B78" t="n">
        <v>4.0082</v>
      </c>
    </row>
    <row r="79">
      <c r="A79" t="n">
        <v>19.5</v>
      </c>
      <c r="B79" t="n">
        <v>4.0123</v>
      </c>
    </row>
    <row r="80">
      <c r="A80" t="n">
        <v>19.75</v>
      </c>
      <c r="B80" t="n">
        <v>4.0163</v>
      </c>
    </row>
    <row r="81">
      <c r="A81" t="n">
        <v>20</v>
      </c>
      <c r="B81" t="n">
        <v>4.0202</v>
      </c>
    </row>
    <row r="82">
      <c r="A82" t="n">
        <v>20.25</v>
      </c>
      <c r="B82" t="n">
        <v>4.0242</v>
      </c>
    </row>
    <row r="83">
      <c r="A83" t="n">
        <v>20.5</v>
      </c>
      <c r="B83" t="n">
        <v>4.0281</v>
      </c>
    </row>
    <row r="84">
      <c r="A84" t="n">
        <v>20.75</v>
      </c>
      <c r="B84" t="n">
        <v>4.0321</v>
      </c>
    </row>
    <row r="85">
      <c r="A85" t="n">
        <v>21</v>
      </c>
      <c r="B85" t="n">
        <v>4.036</v>
      </c>
    </row>
    <row r="86">
      <c r="A86" t="n">
        <v>21.25</v>
      </c>
      <c r="B86" t="n">
        <v>4.04</v>
      </c>
    </row>
    <row r="87">
      <c r="A87" t="n">
        <v>21.5</v>
      </c>
      <c r="B87" t="n">
        <v>4.0439</v>
      </c>
    </row>
    <row r="88">
      <c r="A88" t="n">
        <v>21.75</v>
      </c>
      <c r="B88" t="n">
        <v>4.0479</v>
      </c>
    </row>
    <row r="89">
      <c r="A89" t="n">
        <v>22</v>
      </c>
      <c r="B89" t="n">
        <v>4.0518</v>
      </c>
    </row>
    <row r="90">
      <c r="A90" t="n">
        <v>22.25</v>
      </c>
      <c r="B90" t="n">
        <v>4.0558</v>
      </c>
    </row>
    <row r="91">
      <c r="A91" t="n">
        <v>22.5</v>
      </c>
      <c r="B91" t="n">
        <v>4.0598</v>
      </c>
    </row>
    <row r="92">
      <c r="A92" t="n">
        <v>22.75</v>
      </c>
      <c r="B92" t="n">
        <v>4.0638</v>
      </c>
    </row>
    <row r="93">
      <c r="A93" t="n">
        <v>23</v>
      </c>
      <c r="B93" t="n">
        <v>4.0678</v>
      </c>
    </row>
    <row r="94">
      <c r="A94" t="n">
        <v>23.25</v>
      </c>
      <c r="B94" t="n">
        <v>4.0718</v>
      </c>
    </row>
    <row r="95">
      <c r="A95" t="n">
        <v>23.5</v>
      </c>
      <c r="B95" t="n">
        <v>4.0758</v>
      </c>
    </row>
    <row r="96">
      <c r="A96" t="n">
        <v>23.75</v>
      </c>
      <c r="B96" t="n">
        <v>4.0798</v>
      </c>
    </row>
    <row r="97">
      <c r="A97" t="n">
        <v>24</v>
      </c>
      <c r="B97" t="n">
        <v>4.0838</v>
      </c>
    </row>
    <row r="98">
      <c r="A98" t="n">
        <v>24.25</v>
      </c>
      <c r="B98" t="n">
        <v>4.0878</v>
      </c>
    </row>
    <row r="99">
      <c r="A99" t="n">
        <v>24.5</v>
      </c>
      <c r="B99" t="n">
        <v>4.0918</v>
      </c>
    </row>
    <row r="100">
      <c r="A100" t="n">
        <v>24.75</v>
      </c>
      <c r="B100" t="n">
        <v>4.0957</v>
      </c>
    </row>
    <row r="101">
      <c r="A101" t="n">
        <v>25</v>
      </c>
      <c r="B101" t="n">
        <v>4.0996</v>
      </c>
    </row>
    <row r="102">
      <c r="A102" t="n">
        <v>25.25</v>
      </c>
      <c r="B102" t="n">
        <v>4.1036</v>
      </c>
    </row>
    <row r="103">
      <c r="A103" t="n">
        <v>25.5</v>
      </c>
      <c r="B103" t="n">
        <v>4.1075</v>
      </c>
    </row>
    <row r="104">
      <c r="A104" t="n">
        <v>25.75</v>
      </c>
      <c r="B104" t="n">
        <v>4.1113</v>
      </c>
    </row>
    <row r="105">
      <c r="A105" t="n">
        <v>26</v>
      </c>
      <c r="B105" t="n">
        <v>4.1151</v>
      </c>
    </row>
    <row r="106">
      <c r="A106" t="n">
        <v>26.25</v>
      </c>
      <c r="B106" t="n">
        <v>4.1189</v>
      </c>
    </row>
    <row r="107">
      <c r="A107" t="n">
        <v>26.5</v>
      </c>
      <c r="B107" t="n">
        <v>4.1226</v>
      </c>
    </row>
    <row r="108">
      <c r="A108" t="n">
        <v>26.75</v>
      </c>
      <c r="B108" t="n">
        <v>4.1262</v>
      </c>
    </row>
    <row r="109">
      <c r="A109" t="n">
        <v>27</v>
      </c>
      <c r="B109" t="n">
        <v>4.1298</v>
      </c>
    </row>
    <row r="110">
      <c r="A110" t="n">
        <v>27.25</v>
      </c>
      <c r="B110" t="n">
        <v>4.1333</v>
      </c>
    </row>
    <row r="111">
      <c r="A111" t="n">
        <v>27.5</v>
      </c>
      <c r="B111" t="n">
        <v>4.1368</v>
      </c>
    </row>
    <row r="112">
      <c r="A112" t="n">
        <v>27.75</v>
      </c>
      <c r="B112" t="n">
        <v>4.1401</v>
      </c>
    </row>
    <row r="113">
      <c r="A113" t="n">
        <v>28</v>
      </c>
      <c r="B113" t="n">
        <v>4.1434</v>
      </c>
    </row>
    <row r="114">
      <c r="A114" t="n">
        <v>28.25</v>
      </c>
      <c r="B114" t="n">
        <v>4.1466</v>
      </c>
    </row>
    <row r="115">
      <c r="A115" t="n">
        <v>28.5</v>
      </c>
      <c r="B115" t="n">
        <v>4.1496</v>
      </c>
    </row>
    <row r="116">
      <c r="A116" t="n">
        <v>28.75</v>
      </c>
      <c r="B116" t="n">
        <v>4.1526</v>
      </c>
    </row>
    <row r="117">
      <c r="A117" t="n">
        <v>29</v>
      </c>
      <c r="B117" t="n">
        <v>4.1554</v>
      </c>
    </row>
    <row r="118">
      <c r="A118" t="n">
        <v>29.25</v>
      </c>
      <c r="B118" t="n">
        <v>4.1581</v>
      </c>
    </row>
    <row r="119">
      <c r="A119" t="n">
        <v>29.5</v>
      </c>
      <c r="B119" t="n">
        <v>4.1607</v>
      </c>
    </row>
    <row r="120">
      <c r="A120" t="n">
        <v>29.75</v>
      </c>
      <c r="B120" t="n">
        <v>4.1632</v>
      </c>
    </row>
    <row r="121">
      <c r="A121" t="n">
        <v>30</v>
      </c>
      <c r="B121" t="n">
        <v>4.1655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Paramètres</t>
        </is>
      </c>
    </row>
    <row r="2">
      <c r="A2" t="inlineStr">
        <is>
          <t>Coupon annuel (%)</t>
        </is>
      </c>
      <c r="B2" t="n">
        <v>4</v>
      </c>
    </row>
    <row r="3">
      <c r="A3" t="inlineStr">
        <is>
          <t>Échéance (années)</t>
        </is>
      </c>
      <c r="B3" t="n">
        <v>10</v>
      </c>
    </row>
    <row r="4">
      <c r="A4" t="inlineStr">
        <is>
          <t>Nominal</t>
        </is>
      </c>
      <c r="B4" t="n">
        <v>100</v>
      </c>
    </row>
    <row r="5">
      <c r="A5" t="inlineStr">
        <is>
          <t>Coupons par an</t>
        </is>
      </c>
      <c r="B5" t="n">
        <v>2</v>
      </c>
    </row>
    <row r="7">
      <c r="A7" s="1" t="inlineStr">
        <is>
          <t>t (années)</t>
        </is>
      </c>
      <c r="B7" s="1" t="inlineStr">
        <is>
          <t>Flux</t>
        </is>
      </c>
      <c r="C7" s="1" t="inlineStr">
        <is>
          <t>Taux zéro (%)</t>
        </is>
      </c>
      <c r="D7" s="1" t="inlineStr">
        <is>
          <t>Facteur EXP(-z*t)</t>
        </is>
      </c>
      <c r="E7" s="1" t="inlineStr">
        <is>
          <t>Flux actualisé</t>
        </is>
      </c>
      <c r="F7" s="1" t="inlineStr">
        <is>
          <t>t x flux actualisé</t>
        </is>
      </c>
    </row>
    <row r="8">
      <c r="A8">
        <f>1/$B$5</f>
        <v/>
      </c>
      <c r="B8">
        <f>IF(ROUND(A8*$B$5,0)&gt;ROUND($B$3*$B$5,0),0,$B$4*$B$2/100/$B$5+IF(ROUND(A8*$B$5,0)=ROUND($B$3*$B$5,0),$B$4,0))</f>
        <v/>
      </c>
      <c r="C8">
        <f>IFERROR(VLOOKUP(A8,Courbe!$A$2:$B$121,2,FALSE),0)</f>
        <v/>
      </c>
      <c r="D8">
        <f>EXP(-C8/100*A8)</f>
        <v/>
      </c>
      <c r="E8">
        <f>B8*D8</f>
        <v/>
      </c>
      <c r="F8">
        <f>A8*E8</f>
        <v/>
      </c>
    </row>
    <row r="9">
      <c r="A9">
        <f>2/$B$5</f>
        <v/>
      </c>
      <c r="B9">
        <f>IF(ROUND(A9*$B$5,0)&gt;ROUND($B$3*$B$5,0),0,$B$4*$B$2/100/$B$5+IF(ROUND(A9*$B$5,0)=ROUND($B$3*$B$5,0),$B$4,0))</f>
        <v/>
      </c>
      <c r="C9">
        <f>IFERROR(VLOOKUP(A9,Courbe!$A$2:$B$121,2,FALSE),0)</f>
        <v/>
      </c>
      <c r="D9">
        <f>EXP(-C9/100*A9)</f>
        <v/>
      </c>
      <c r="E9">
        <f>B9*D9</f>
        <v/>
      </c>
      <c r="F9">
        <f>A9*E9</f>
        <v/>
      </c>
    </row>
    <row r="10">
      <c r="A10">
        <f>3/$B$5</f>
        <v/>
      </c>
      <c r="B10">
        <f>IF(ROUND(A10*$B$5,0)&gt;ROUND($B$3*$B$5,0),0,$B$4*$B$2/100/$B$5+IF(ROUND(A10*$B$5,0)=ROUND($B$3*$B$5,0),$B$4,0))</f>
        <v/>
      </c>
      <c r="C10">
        <f>IFERROR(VLOOKUP(A10,Courbe!$A$2:$B$121,2,FALSE),0)</f>
        <v/>
      </c>
      <c r="D10">
        <f>EXP(-C10/100*A10)</f>
        <v/>
      </c>
      <c r="E10">
        <f>B10*D10</f>
        <v/>
      </c>
      <c r="F10">
        <f>A10*E10</f>
        <v/>
      </c>
    </row>
    <row r="11">
      <c r="A11">
        <f>4/$B$5</f>
        <v/>
      </c>
      <c r="B11">
        <f>IF(ROUND(A11*$B$5,0)&gt;ROUND($B$3*$B$5,0),0,$B$4*$B$2/100/$B$5+IF(ROUND(A11*$B$5,0)=ROUND($B$3*$B$5,0),$B$4,0))</f>
        <v/>
      </c>
      <c r="C11">
        <f>IFERROR(VLOOKUP(A11,Courbe!$A$2:$B$121,2,FALSE),0)</f>
        <v/>
      </c>
      <c r="D11">
        <f>EXP(-C11/100*A11)</f>
        <v/>
      </c>
      <c r="E11">
        <f>B11*D11</f>
        <v/>
      </c>
      <c r="F11">
        <f>A11*E11</f>
        <v/>
      </c>
    </row>
    <row r="12">
      <c r="A12">
        <f>5/$B$5</f>
        <v/>
      </c>
      <c r="B12">
        <f>IF(ROUND(A12*$B$5,0)&gt;ROUND($B$3*$B$5,0),0,$B$4*$B$2/100/$B$5+IF(ROUND(A12*$B$5,0)=ROUND($B$3*$B$5,0),$B$4,0))</f>
        <v/>
      </c>
      <c r="C12">
        <f>IFERROR(VLOOKUP(A12,Courbe!$A$2:$B$121,2,FALSE),0)</f>
        <v/>
      </c>
      <c r="D12">
        <f>EXP(-C12/100*A12)</f>
        <v/>
      </c>
      <c r="E12">
        <f>B12*D12</f>
        <v/>
      </c>
      <c r="F12">
        <f>A12*E12</f>
        <v/>
      </c>
    </row>
    <row r="13">
      <c r="A13">
        <f>6/$B$5</f>
        <v/>
      </c>
      <c r="B13">
        <f>IF(ROUND(A13*$B$5,0)&gt;ROUND($B$3*$B$5,0),0,$B$4*$B$2/100/$B$5+IF(ROUND(A13*$B$5,0)=ROUND($B$3*$B$5,0),$B$4,0))</f>
        <v/>
      </c>
      <c r="C13">
        <f>IFERROR(VLOOKUP(A13,Courbe!$A$2:$B$121,2,FALSE),0)</f>
        <v/>
      </c>
      <c r="D13">
        <f>EXP(-C13/100*A13)</f>
        <v/>
      </c>
      <c r="E13">
        <f>B13*D13</f>
        <v/>
      </c>
      <c r="F13">
        <f>A13*E13</f>
        <v/>
      </c>
    </row>
    <row r="14">
      <c r="A14">
        <f>7/$B$5</f>
        <v/>
      </c>
      <c r="B14">
        <f>IF(ROUND(A14*$B$5,0)&gt;ROUND($B$3*$B$5,0),0,$B$4*$B$2/100/$B$5+IF(ROUND(A14*$B$5,0)=ROUND($B$3*$B$5,0),$B$4,0))</f>
        <v/>
      </c>
      <c r="C14">
        <f>IFERROR(VLOOKUP(A14,Courbe!$A$2:$B$121,2,FALSE),0)</f>
        <v/>
      </c>
      <c r="D14">
        <f>EXP(-C14/100*A14)</f>
        <v/>
      </c>
      <c r="E14">
        <f>B14*D14</f>
        <v/>
      </c>
      <c r="F14">
        <f>A14*E14</f>
        <v/>
      </c>
    </row>
    <row r="15">
      <c r="A15">
        <f>8/$B$5</f>
        <v/>
      </c>
      <c r="B15">
        <f>IF(ROUND(A15*$B$5,0)&gt;ROUND($B$3*$B$5,0),0,$B$4*$B$2/100/$B$5+IF(ROUND(A15*$B$5,0)=ROUND($B$3*$B$5,0),$B$4,0))</f>
        <v/>
      </c>
      <c r="C15">
        <f>IFERROR(VLOOKUP(A15,Courbe!$A$2:$B$121,2,FALSE),0)</f>
        <v/>
      </c>
      <c r="D15">
        <f>EXP(-C15/100*A15)</f>
        <v/>
      </c>
      <c r="E15">
        <f>B15*D15</f>
        <v/>
      </c>
      <c r="F15">
        <f>A15*E15</f>
        <v/>
      </c>
    </row>
    <row r="16">
      <c r="A16">
        <f>9/$B$5</f>
        <v/>
      </c>
      <c r="B16">
        <f>IF(ROUND(A16*$B$5,0)&gt;ROUND($B$3*$B$5,0),0,$B$4*$B$2/100/$B$5+IF(ROUND(A16*$B$5,0)=ROUND($B$3*$B$5,0),$B$4,0))</f>
        <v/>
      </c>
      <c r="C16">
        <f>IFERROR(VLOOKUP(A16,Courbe!$A$2:$B$121,2,FALSE),0)</f>
        <v/>
      </c>
      <c r="D16">
        <f>EXP(-C16/100*A16)</f>
        <v/>
      </c>
      <c r="E16">
        <f>B16*D16</f>
        <v/>
      </c>
      <c r="F16">
        <f>A16*E16</f>
        <v/>
      </c>
    </row>
    <row r="17">
      <c r="A17">
        <f>10/$B$5</f>
        <v/>
      </c>
      <c r="B17">
        <f>IF(ROUND(A17*$B$5,0)&gt;ROUND($B$3*$B$5,0),0,$B$4*$B$2/100/$B$5+IF(ROUND(A17*$B$5,0)=ROUND($B$3*$B$5,0),$B$4,0))</f>
        <v/>
      </c>
      <c r="C17">
        <f>IFERROR(VLOOKUP(A17,Courbe!$A$2:$B$121,2,FALSE),0)</f>
        <v/>
      </c>
      <c r="D17">
        <f>EXP(-C17/100*A17)</f>
        <v/>
      </c>
      <c r="E17">
        <f>B17*D17</f>
        <v/>
      </c>
      <c r="F17">
        <f>A17*E17</f>
        <v/>
      </c>
    </row>
    <row r="18">
      <c r="A18">
        <f>11/$B$5</f>
        <v/>
      </c>
      <c r="B18">
        <f>IF(ROUND(A18*$B$5,0)&gt;ROUND($B$3*$B$5,0),0,$B$4*$B$2/100/$B$5+IF(ROUND(A18*$B$5,0)=ROUND($B$3*$B$5,0),$B$4,0))</f>
        <v/>
      </c>
      <c r="C18">
        <f>IFERROR(VLOOKUP(A18,Courbe!$A$2:$B$121,2,FALSE),0)</f>
        <v/>
      </c>
      <c r="D18">
        <f>EXP(-C18/100*A18)</f>
        <v/>
      </c>
      <c r="E18">
        <f>B18*D18</f>
        <v/>
      </c>
      <c r="F18">
        <f>A18*E18</f>
        <v/>
      </c>
    </row>
    <row r="19">
      <c r="A19">
        <f>12/$B$5</f>
        <v/>
      </c>
      <c r="B19">
        <f>IF(ROUND(A19*$B$5,0)&gt;ROUND($B$3*$B$5,0),0,$B$4*$B$2/100/$B$5+IF(ROUND(A19*$B$5,0)=ROUND($B$3*$B$5,0),$B$4,0))</f>
        <v/>
      </c>
      <c r="C19">
        <f>IFERROR(VLOOKUP(A19,Courbe!$A$2:$B$121,2,FALSE),0)</f>
        <v/>
      </c>
      <c r="D19">
        <f>EXP(-C19/100*A19)</f>
        <v/>
      </c>
      <c r="E19">
        <f>B19*D19</f>
        <v/>
      </c>
      <c r="F19">
        <f>A19*E19</f>
        <v/>
      </c>
    </row>
    <row r="20">
      <c r="A20">
        <f>13/$B$5</f>
        <v/>
      </c>
      <c r="B20">
        <f>IF(ROUND(A20*$B$5,0)&gt;ROUND($B$3*$B$5,0),0,$B$4*$B$2/100/$B$5+IF(ROUND(A20*$B$5,0)=ROUND($B$3*$B$5,0),$B$4,0))</f>
        <v/>
      </c>
      <c r="C20">
        <f>IFERROR(VLOOKUP(A20,Courbe!$A$2:$B$121,2,FALSE),0)</f>
        <v/>
      </c>
      <c r="D20">
        <f>EXP(-C20/100*A20)</f>
        <v/>
      </c>
      <c r="E20">
        <f>B20*D20</f>
        <v/>
      </c>
      <c r="F20">
        <f>A20*E20</f>
        <v/>
      </c>
    </row>
    <row r="21">
      <c r="A21">
        <f>14/$B$5</f>
        <v/>
      </c>
      <c r="B21">
        <f>IF(ROUND(A21*$B$5,0)&gt;ROUND($B$3*$B$5,0),0,$B$4*$B$2/100/$B$5+IF(ROUND(A21*$B$5,0)=ROUND($B$3*$B$5,0),$B$4,0))</f>
        <v/>
      </c>
      <c r="C21">
        <f>IFERROR(VLOOKUP(A21,Courbe!$A$2:$B$121,2,FALSE),0)</f>
        <v/>
      </c>
      <c r="D21">
        <f>EXP(-C21/100*A21)</f>
        <v/>
      </c>
      <c r="E21">
        <f>B21*D21</f>
        <v/>
      </c>
      <c r="F21">
        <f>A21*E21</f>
        <v/>
      </c>
    </row>
    <row r="22">
      <c r="A22">
        <f>15/$B$5</f>
        <v/>
      </c>
      <c r="B22">
        <f>IF(ROUND(A22*$B$5,0)&gt;ROUND($B$3*$B$5,0),0,$B$4*$B$2/100/$B$5+IF(ROUND(A22*$B$5,0)=ROUND($B$3*$B$5,0),$B$4,0))</f>
        <v/>
      </c>
      <c r="C22">
        <f>IFERROR(VLOOKUP(A22,Courbe!$A$2:$B$121,2,FALSE),0)</f>
        <v/>
      </c>
      <c r="D22">
        <f>EXP(-C22/100*A22)</f>
        <v/>
      </c>
      <c r="E22">
        <f>B22*D22</f>
        <v/>
      </c>
      <c r="F22">
        <f>A22*E22</f>
        <v/>
      </c>
    </row>
    <row r="23">
      <c r="A23">
        <f>16/$B$5</f>
        <v/>
      </c>
      <c r="B23">
        <f>IF(ROUND(A23*$B$5,0)&gt;ROUND($B$3*$B$5,0),0,$B$4*$B$2/100/$B$5+IF(ROUND(A23*$B$5,0)=ROUND($B$3*$B$5,0),$B$4,0))</f>
        <v/>
      </c>
      <c r="C23">
        <f>IFERROR(VLOOKUP(A23,Courbe!$A$2:$B$121,2,FALSE),0)</f>
        <v/>
      </c>
      <c r="D23">
        <f>EXP(-C23/100*A23)</f>
        <v/>
      </c>
      <c r="E23">
        <f>B23*D23</f>
        <v/>
      </c>
      <c r="F23">
        <f>A23*E23</f>
        <v/>
      </c>
    </row>
    <row r="24">
      <c r="A24">
        <f>17/$B$5</f>
        <v/>
      </c>
      <c r="B24">
        <f>IF(ROUND(A24*$B$5,0)&gt;ROUND($B$3*$B$5,0),0,$B$4*$B$2/100/$B$5+IF(ROUND(A24*$B$5,0)=ROUND($B$3*$B$5,0),$B$4,0))</f>
        <v/>
      </c>
      <c r="C24">
        <f>IFERROR(VLOOKUP(A24,Courbe!$A$2:$B$121,2,FALSE),0)</f>
        <v/>
      </c>
      <c r="D24">
        <f>EXP(-C24/100*A24)</f>
        <v/>
      </c>
      <c r="E24">
        <f>B24*D24</f>
        <v/>
      </c>
      <c r="F24">
        <f>A24*E24</f>
        <v/>
      </c>
    </row>
    <row r="25">
      <c r="A25">
        <f>18/$B$5</f>
        <v/>
      </c>
      <c r="B25">
        <f>IF(ROUND(A25*$B$5,0)&gt;ROUND($B$3*$B$5,0),0,$B$4*$B$2/100/$B$5+IF(ROUND(A25*$B$5,0)=ROUND($B$3*$B$5,0),$B$4,0))</f>
        <v/>
      </c>
      <c r="C25">
        <f>IFERROR(VLOOKUP(A25,Courbe!$A$2:$B$121,2,FALSE),0)</f>
        <v/>
      </c>
      <c r="D25">
        <f>EXP(-C25/100*A25)</f>
        <v/>
      </c>
      <c r="E25">
        <f>B25*D25</f>
        <v/>
      </c>
      <c r="F25">
        <f>A25*E25</f>
        <v/>
      </c>
    </row>
    <row r="26">
      <c r="A26">
        <f>19/$B$5</f>
        <v/>
      </c>
      <c r="B26">
        <f>IF(ROUND(A26*$B$5,0)&gt;ROUND($B$3*$B$5,0),0,$B$4*$B$2/100/$B$5+IF(ROUND(A26*$B$5,0)=ROUND($B$3*$B$5,0),$B$4,0))</f>
        <v/>
      </c>
      <c r="C26">
        <f>IFERROR(VLOOKUP(A26,Courbe!$A$2:$B$121,2,FALSE),0)</f>
        <v/>
      </c>
      <c r="D26">
        <f>EXP(-C26/100*A26)</f>
        <v/>
      </c>
      <c r="E26">
        <f>B26*D26</f>
        <v/>
      </c>
      <c r="F26">
        <f>A26*E26</f>
        <v/>
      </c>
    </row>
    <row r="27">
      <c r="A27">
        <f>20/$B$5</f>
        <v/>
      </c>
      <c r="B27">
        <f>IF(ROUND(A27*$B$5,0)&gt;ROUND($B$3*$B$5,0),0,$B$4*$B$2/100/$B$5+IF(ROUND(A27*$B$5,0)=ROUND($B$3*$B$5,0),$B$4,0))</f>
        <v/>
      </c>
      <c r="C27">
        <f>IFERROR(VLOOKUP(A27,Courbe!$A$2:$B$121,2,FALSE),0)</f>
        <v/>
      </c>
      <c r="D27">
        <f>EXP(-C27/100*A27)</f>
        <v/>
      </c>
      <c r="E27">
        <f>B27*D27</f>
        <v/>
      </c>
      <c r="F27">
        <f>A27*E27</f>
        <v/>
      </c>
    </row>
    <row r="28">
      <c r="A28">
        <f>21/$B$5</f>
        <v/>
      </c>
      <c r="B28">
        <f>IF(ROUND(A28*$B$5,0)&gt;ROUND($B$3*$B$5,0),0,$B$4*$B$2/100/$B$5+IF(ROUND(A28*$B$5,0)=ROUND($B$3*$B$5,0),$B$4,0))</f>
        <v/>
      </c>
      <c r="C28">
        <f>IFERROR(VLOOKUP(A28,Courbe!$A$2:$B$121,2,FALSE),0)</f>
        <v/>
      </c>
      <c r="D28">
        <f>EXP(-C28/100*A28)</f>
        <v/>
      </c>
      <c r="E28">
        <f>B28*D28</f>
        <v/>
      </c>
      <c r="F28">
        <f>A28*E28</f>
        <v/>
      </c>
    </row>
    <row r="29">
      <c r="A29">
        <f>22/$B$5</f>
        <v/>
      </c>
      <c r="B29">
        <f>IF(ROUND(A29*$B$5,0)&gt;ROUND($B$3*$B$5,0),0,$B$4*$B$2/100/$B$5+IF(ROUND(A29*$B$5,0)=ROUND($B$3*$B$5,0),$B$4,0))</f>
        <v/>
      </c>
      <c r="C29">
        <f>IFERROR(VLOOKUP(A29,Courbe!$A$2:$B$121,2,FALSE),0)</f>
        <v/>
      </c>
      <c r="D29">
        <f>EXP(-C29/100*A29)</f>
        <v/>
      </c>
      <c r="E29">
        <f>B29*D29</f>
        <v/>
      </c>
      <c r="F29">
        <f>A29*E29</f>
        <v/>
      </c>
    </row>
    <row r="30">
      <c r="A30">
        <f>23/$B$5</f>
        <v/>
      </c>
      <c r="B30">
        <f>IF(ROUND(A30*$B$5,0)&gt;ROUND($B$3*$B$5,0),0,$B$4*$B$2/100/$B$5+IF(ROUND(A30*$B$5,0)=ROUND($B$3*$B$5,0),$B$4,0))</f>
        <v/>
      </c>
      <c r="C30">
        <f>IFERROR(VLOOKUP(A30,Courbe!$A$2:$B$121,2,FALSE),0)</f>
        <v/>
      </c>
      <c r="D30">
        <f>EXP(-C30/100*A30)</f>
        <v/>
      </c>
      <c r="E30">
        <f>B30*D30</f>
        <v/>
      </c>
      <c r="F30">
        <f>A30*E30</f>
        <v/>
      </c>
    </row>
    <row r="31">
      <c r="A31">
        <f>24/$B$5</f>
        <v/>
      </c>
      <c r="B31">
        <f>IF(ROUND(A31*$B$5,0)&gt;ROUND($B$3*$B$5,0),0,$B$4*$B$2/100/$B$5+IF(ROUND(A31*$B$5,0)=ROUND($B$3*$B$5,0),$B$4,0))</f>
        <v/>
      </c>
      <c r="C31">
        <f>IFERROR(VLOOKUP(A31,Courbe!$A$2:$B$121,2,FALSE),0)</f>
        <v/>
      </c>
      <c r="D31">
        <f>EXP(-C31/100*A31)</f>
        <v/>
      </c>
      <c r="E31">
        <f>B31*D31</f>
        <v/>
      </c>
      <c r="F31">
        <f>A31*E31</f>
        <v/>
      </c>
    </row>
    <row r="32">
      <c r="A32">
        <f>25/$B$5</f>
        <v/>
      </c>
      <c r="B32">
        <f>IF(ROUND(A32*$B$5,0)&gt;ROUND($B$3*$B$5,0),0,$B$4*$B$2/100/$B$5+IF(ROUND(A32*$B$5,0)=ROUND($B$3*$B$5,0),$B$4,0))</f>
        <v/>
      </c>
      <c r="C32">
        <f>IFERROR(VLOOKUP(A32,Courbe!$A$2:$B$121,2,FALSE),0)</f>
        <v/>
      </c>
      <c r="D32">
        <f>EXP(-C32/100*A32)</f>
        <v/>
      </c>
      <c r="E32">
        <f>B32*D32</f>
        <v/>
      </c>
      <c r="F32">
        <f>A32*E32</f>
        <v/>
      </c>
    </row>
    <row r="33">
      <c r="A33">
        <f>26/$B$5</f>
        <v/>
      </c>
      <c r="B33">
        <f>IF(ROUND(A33*$B$5,0)&gt;ROUND($B$3*$B$5,0),0,$B$4*$B$2/100/$B$5+IF(ROUND(A33*$B$5,0)=ROUND($B$3*$B$5,0),$B$4,0))</f>
        <v/>
      </c>
      <c r="C33">
        <f>IFERROR(VLOOKUP(A33,Courbe!$A$2:$B$121,2,FALSE),0)</f>
        <v/>
      </c>
      <c r="D33">
        <f>EXP(-C33/100*A33)</f>
        <v/>
      </c>
      <c r="E33">
        <f>B33*D33</f>
        <v/>
      </c>
      <c r="F33">
        <f>A33*E33</f>
        <v/>
      </c>
    </row>
    <row r="34">
      <c r="A34">
        <f>27/$B$5</f>
        <v/>
      </c>
      <c r="B34">
        <f>IF(ROUND(A34*$B$5,0)&gt;ROUND($B$3*$B$5,0),0,$B$4*$B$2/100/$B$5+IF(ROUND(A34*$B$5,0)=ROUND($B$3*$B$5,0),$B$4,0))</f>
        <v/>
      </c>
      <c r="C34">
        <f>IFERROR(VLOOKUP(A34,Courbe!$A$2:$B$121,2,FALSE),0)</f>
        <v/>
      </c>
      <c r="D34">
        <f>EXP(-C34/100*A34)</f>
        <v/>
      </c>
      <c r="E34">
        <f>B34*D34</f>
        <v/>
      </c>
      <c r="F34">
        <f>A34*E34</f>
        <v/>
      </c>
    </row>
    <row r="35">
      <c r="A35">
        <f>28/$B$5</f>
        <v/>
      </c>
      <c r="B35">
        <f>IF(ROUND(A35*$B$5,0)&gt;ROUND($B$3*$B$5,0),0,$B$4*$B$2/100/$B$5+IF(ROUND(A35*$B$5,0)=ROUND($B$3*$B$5,0),$B$4,0))</f>
        <v/>
      </c>
      <c r="C35">
        <f>IFERROR(VLOOKUP(A35,Courbe!$A$2:$B$121,2,FALSE),0)</f>
        <v/>
      </c>
      <c r="D35">
        <f>EXP(-C35/100*A35)</f>
        <v/>
      </c>
      <c r="E35">
        <f>B35*D35</f>
        <v/>
      </c>
      <c r="F35">
        <f>A35*E35</f>
        <v/>
      </c>
    </row>
    <row r="36">
      <c r="A36">
        <f>29/$B$5</f>
        <v/>
      </c>
      <c r="B36">
        <f>IF(ROUND(A36*$B$5,0)&gt;ROUND($B$3*$B$5,0),0,$B$4*$B$2/100/$B$5+IF(ROUND(A36*$B$5,0)=ROUND($B$3*$B$5,0),$B$4,0))</f>
        <v/>
      </c>
      <c r="C36">
        <f>IFERROR(VLOOKUP(A36,Courbe!$A$2:$B$121,2,FALSE),0)</f>
        <v/>
      </c>
      <c r="D36">
        <f>EXP(-C36/100*A36)</f>
        <v/>
      </c>
      <c r="E36">
        <f>B36*D36</f>
        <v/>
      </c>
      <c r="F36">
        <f>A36*E36</f>
        <v/>
      </c>
    </row>
    <row r="37">
      <c r="A37">
        <f>30/$B$5</f>
        <v/>
      </c>
      <c r="B37">
        <f>IF(ROUND(A37*$B$5,0)&gt;ROUND($B$3*$B$5,0),0,$B$4*$B$2/100/$B$5+IF(ROUND(A37*$B$5,0)=ROUND($B$3*$B$5,0),$B$4,0))</f>
        <v/>
      </c>
      <c r="C37">
        <f>IFERROR(VLOOKUP(A37,Courbe!$A$2:$B$121,2,FALSE),0)</f>
        <v/>
      </c>
      <c r="D37">
        <f>EXP(-C37/100*A37)</f>
        <v/>
      </c>
      <c r="E37">
        <f>B37*D37</f>
        <v/>
      </c>
      <c r="F37">
        <f>A37*E37</f>
        <v/>
      </c>
    </row>
    <row r="38">
      <c r="A38">
        <f>31/$B$5</f>
        <v/>
      </c>
      <c r="B38">
        <f>IF(ROUND(A38*$B$5,0)&gt;ROUND($B$3*$B$5,0),0,$B$4*$B$2/100/$B$5+IF(ROUND(A38*$B$5,0)=ROUND($B$3*$B$5,0),$B$4,0))</f>
        <v/>
      </c>
      <c r="C38">
        <f>IFERROR(VLOOKUP(A38,Courbe!$A$2:$B$121,2,FALSE),0)</f>
        <v/>
      </c>
      <c r="D38">
        <f>EXP(-C38/100*A38)</f>
        <v/>
      </c>
      <c r="E38">
        <f>B38*D38</f>
        <v/>
      </c>
      <c r="F38">
        <f>A38*E38</f>
        <v/>
      </c>
    </row>
    <row r="39">
      <c r="A39">
        <f>32/$B$5</f>
        <v/>
      </c>
      <c r="B39">
        <f>IF(ROUND(A39*$B$5,0)&gt;ROUND($B$3*$B$5,0),0,$B$4*$B$2/100/$B$5+IF(ROUND(A39*$B$5,0)=ROUND($B$3*$B$5,0),$B$4,0))</f>
        <v/>
      </c>
      <c r="C39">
        <f>IFERROR(VLOOKUP(A39,Courbe!$A$2:$B$121,2,FALSE),0)</f>
        <v/>
      </c>
      <c r="D39">
        <f>EXP(-C39/100*A39)</f>
        <v/>
      </c>
      <c r="E39">
        <f>B39*D39</f>
        <v/>
      </c>
      <c r="F39">
        <f>A39*E39</f>
        <v/>
      </c>
    </row>
    <row r="40">
      <c r="A40">
        <f>33/$B$5</f>
        <v/>
      </c>
      <c r="B40">
        <f>IF(ROUND(A40*$B$5,0)&gt;ROUND($B$3*$B$5,0),0,$B$4*$B$2/100/$B$5+IF(ROUND(A40*$B$5,0)=ROUND($B$3*$B$5,0),$B$4,0))</f>
        <v/>
      </c>
      <c r="C40">
        <f>IFERROR(VLOOKUP(A40,Courbe!$A$2:$B$121,2,FALSE),0)</f>
        <v/>
      </c>
      <c r="D40">
        <f>EXP(-C40/100*A40)</f>
        <v/>
      </c>
      <c r="E40">
        <f>B40*D40</f>
        <v/>
      </c>
      <c r="F40">
        <f>A40*E40</f>
        <v/>
      </c>
    </row>
    <row r="41">
      <c r="A41">
        <f>34/$B$5</f>
        <v/>
      </c>
      <c r="B41">
        <f>IF(ROUND(A41*$B$5,0)&gt;ROUND($B$3*$B$5,0),0,$B$4*$B$2/100/$B$5+IF(ROUND(A41*$B$5,0)=ROUND($B$3*$B$5,0),$B$4,0))</f>
        <v/>
      </c>
      <c r="C41">
        <f>IFERROR(VLOOKUP(A41,Courbe!$A$2:$B$121,2,FALSE),0)</f>
        <v/>
      </c>
      <c r="D41">
        <f>EXP(-C41/100*A41)</f>
        <v/>
      </c>
      <c r="E41">
        <f>B41*D41</f>
        <v/>
      </c>
      <c r="F41">
        <f>A41*E41</f>
        <v/>
      </c>
    </row>
    <row r="42">
      <c r="A42">
        <f>35/$B$5</f>
        <v/>
      </c>
      <c r="B42">
        <f>IF(ROUND(A42*$B$5,0)&gt;ROUND($B$3*$B$5,0),0,$B$4*$B$2/100/$B$5+IF(ROUND(A42*$B$5,0)=ROUND($B$3*$B$5,0),$B$4,0))</f>
        <v/>
      </c>
      <c r="C42">
        <f>IFERROR(VLOOKUP(A42,Courbe!$A$2:$B$121,2,FALSE),0)</f>
        <v/>
      </c>
      <c r="D42">
        <f>EXP(-C42/100*A42)</f>
        <v/>
      </c>
      <c r="E42">
        <f>B42*D42</f>
        <v/>
      </c>
      <c r="F42">
        <f>A42*E42</f>
        <v/>
      </c>
    </row>
    <row r="43">
      <c r="A43">
        <f>36/$B$5</f>
        <v/>
      </c>
      <c r="B43">
        <f>IF(ROUND(A43*$B$5,0)&gt;ROUND($B$3*$B$5,0),0,$B$4*$B$2/100/$B$5+IF(ROUND(A43*$B$5,0)=ROUND($B$3*$B$5,0),$B$4,0))</f>
        <v/>
      </c>
      <c r="C43">
        <f>IFERROR(VLOOKUP(A43,Courbe!$A$2:$B$121,2,FALSE),0)</f>
        <v/>
      </c>
      <c r="D43">
        <f>EXP(-C43/100*A43)</f>
        <v/>
      </c>
      <c r="E43">
        <f>B43*D43</f>
        <v/>
      </c>
      <c r="F43">
        <f>A43*E43</f>
        <v/>
      </c>
    </row>
    <row r="44">
      <c r="A44">
        <f>37/$B$5</f>
        <v/>
      </c>
      <c r="B44">
        <f>IF(ROUND(A44*$B$5,0)&gt;ROUND($B$3*$B$5,0),0,$B$4*$B$2/100/$B$5+IF(ROUND(A44*$B$5,0)=ROUND($B$3*$B$5,0),$B$4,0))</f>
        <v/>
      </c>
      <c r="C44">
        <f>IFERROR(VLOOKUP(A44,Courbe!$A$2:$B$121,2,FALSE),0)</f>
        <v/>
      </c>
      <c r="D44">
        <f>EXP(-C44/100*A44)</f>
        <v/>
      </c>
      <c r="E44">
        <f>B44*D44</f>
        <v/>
      </c>
      <c r="F44">
        <f>A44*E44</f>
        <v/>
      </c>
    </row>
    <row r="45">
      <c r="A45">
        <f>38/$B$5</f>
        <v/>
      </c>
      <c r="B45">
        <f>IF(ROUND(A45*$B$5,0)&gt;ROUND($B$3*$B$5,0),0,$B$4*$B$2/100/$B$5+IF(ROUND(A45*$B$5,0)=ROUND($B$3*$B$5,0),$B$4,0))</f>
        <v/>
      </c>
      <c r="C45">
        <f>IFERROR(VLOOKUP(A45,Courbe!$A$2:$B$121,2,FALSE),0)</f>
        <v/>
      </c>
      <c r="D45">
        <f>EXP(-C45/100*A45)</f>
        <v/>
      </c>
      <c r="E45">
        <f>B45*D45</f>
        <v/>
      </c>
      <c r="F45">
        <f>A45*E45</f>
        <v/>
      </c>
    </row>
    <row r="46">
      <c r="A46">
        <f>39/$B$5</f>
        <v/>
      </c>
      <c r="B46">
        <f>IF(ROUND(A46*$B$5,0)&gt;ROUND($B$3*$B$5,0),0,$B$4*$B$2/100/$B$5+IF(ROUND(A46*$B$5,0)=ROUND($B$3*$B$5,0),$B$4,0))</f>
        <v/>
      </c>
      <c r="C46">
        <f>IFERROR(VLOOKUP(A46,Courbe!$A$2:$B$121,2,FALSE),0)</f>
        <v/>
      </c>
      <c r="D46">
        <f>EXP(-C46/100*A46)</f>
        <v/>
      </c>
      <c r="E46">
        <f>B46*D46</f>
        <v/>
      </c>
      <c r="F46">
        <f>A46*E46</f>
        <v/>
      </c>
    </row>
    <row r="47">
      <c r="A47">
        <f>40/$B$5</f>
        <v/>
      </c>
      <c r="B47">
        <f>IF(ROUND(A47*$B$5,0)&gt;ROUND($B$3*$B$5,0),0,$B$4*$B$2/100/$B$5+IF(ROUND(A47*$B$5,0)=ROUND($B$3*$B$5,0),$B$4,0))</f>
        <v/>
      </c>
      <c r="C47">
        <f>IFERROR(VLOOKUP(A47,Courbe!$A$2:$B$121,2,FALSE),0)</f>
        <v/>
      </c>
      <c r="D47">
        <f>EXP(-C47/100*A47)</f>
        <v/>
      </c>
      <c r="E47">
        <f>B47*D47</f>
        <v/>
      </c>
      <c r="F47">
        <f>A47*E47</f>
        <v/>
      </c>
    </row>
    <row r="48">
      <c r="A48">
        <f>41/$B$5</f>
        <v/>
      </c>
      <c r="B48">
        <f>IF(ROUND(A48*$B$5,0)&gt;ROUND($B$3*$B$5,0),0,$B$4*$B$2/100/$B$5+IF(ROUND(A48*$B$5,0)=ROUND($B$3*$B$5,0),$B$4,0))</f>
        <v/>
      </c>
      <c r="C48">
        <f>IFERROR(VLOOKUP(A48,Courbe!$A$2:$B$121,2,FALSE),0)</f>
        <v/>
      </c>
      <c r="D48">
        <f>EXP(-C48/100*A48)</f>
        <v/>
      </c>
      <c r="E48">
        <f>B48*D48</f>
        <v/>
      </c>
      <c r="F48">
        <f>A48*E48</f>
        <v/>
      </c>
    </row>
    <row r="49">
      <c r="A49">
        <f>42/$B$5</f>
        <v/>
      </c>
      <c r="B49">
        <f>IF(ROUND(A49*$B$5,0)&gt;ROUND($B$3*$B$5,0),0,$B$4*$B$2/100/$B$5+IF(ROUND(A49*$B$5,0)=ROUND($B$3*$B$5,0),$B$4,0))</f>
        <v/>
      </c>
      <c r="C49">
        <f>IFERROR(VLOOKUP(A49,Courbe!$A$2:$B$121,2,FALSE),0)</f>
        <v/>
      </c>
      <c r="D49">
        <f>EXP(-C49/100*A49)</f>
        <v/>
      </c>
      <c r="E49">
        <f>B49*D49</f>
        <v/>
      </c>
      <c r="F49">
        <f>A49*E49</f>
        <v/>
      </c>
    </row>
    <row r="50">
      <c r="A50">
        <f>43/$B$5</f>
        <v/>
      </c>
      <c r="B50">
        <f>IF(ROUND(A50*$B$5,0)&gt;ROUND($B$3*$B$5,0),0,$B$4*$B$2/100/$B$5+IF(ROUND(A50*$B$5,0)=ROUND($B$3*$B$5,0),$B$4,0))</f>
        <v/>
      </c>
      <c r="C50">
        <f>IFERROR(VLOOKUP(A50,Courbe!$A$2:$B$121,2,FALSE),0)</f>
        <v/>
      </c>
      <c r="D50">
        <f>EXP(-C50/100*A50)</f>
        <v/>
      </c>
      <c r="E50">
        <f>B50*D50</f>
        <v/>
      </c>
      <c r="F50">
        <f>A50*E50</f>
        <v/>
      </c>
    </row>
    <row r="51">
      <c r="A51">
        <f>44/$B$5</f>
        <v/>
      </c>
      <c r="B51">
        <f>IF(ROUND(A51*$B$5,0)&gt;ROUND($B$3*$B$5,0),0,$B$4*$B$2/100/$B$5+IF(ROUND(A51*$B$5,0)=ROUND($B$3*$B$5,0),$B$4,0))</f>
        <v/>
      </c>
      <c r="C51">
        <f>IFERROR(VLOOKUP(A51,Courbe!$A$2:$B$121,2,FALSE),0)</f>
        <v/>
      </c>
      <c r="D51">
        <f>EXP(-C51/100*A51)</f>
        <v/>
      </c>
      <c r="E51">
        <f>B51*D51</f>
        <v/>
      </c>
      <c r="F51">
        <f>A51*E51</f>
        <v/>
      </c>
    </row>
    <row r="52">
      <c r="A52">
        <f>45/$B$5</f>
        <v/>
      </c>
      <c r="B52">
        <f>IF(ROUND(A52*$B$5,0)&gt;ROUND($B$3*$B$5,0),0,$B$4*$B$2/100/$B$5+IF(ROUND(A52*$B$5,0)=ROUND($B$3*$B$5,0),$B$4,0))</f>
        <v/>
      </c>
      <c r="C52">
        <f>IFERROR(VLOOKUP(A52,Courbe!$A$2:$B$121,2,FALSE),0)</f>
        <v/>
      </c>
      <c r="D52">
        <f>EXP(-C52/100*A52)</f>
        <v/>
      </c>
      <c r="E52">
        <f>B52*D52</f>
        <v/>
      </c>
      <c r="F52">
        <f>A52*E52</f>
        <v/>
      </c>
    </row>
    <row r="53">
      <c r="A53">
        <f>46/$B$5</f>
        <v/>
      </c>
      <c r="B53">
        <f>IF(ROUND(A53*$B$5,0)&gt;ROUND($B$3*$B$5,0),0,$B$4*$B$2/100/$B$5+IF(ROUND(A53*$B$5,0)=ROUND($B$3*$B$5,0),$B$4,0))</f>
        <v/>
      </c>
      <c r="C53">
        <f>IFERROR(VLOOKUP(A53,Courbe!$A$2:$B$121,2,FALSE),0)</f>
        <v/>
      </c>
      <c r="D53">
        <f>EXP(-C53/100*A53)</f>
        <v/>
      </c>
      <c r="E53">
        <f>B53*D53</f>
        <v/>
      </c>
      <c r="F53">
        <f>A53*E53</f>
        <v/>
      </c>
    </row>
    <row r="54">
      <c r="A54">
        <f>47/$B$5</f>
        <v/>
      </c>
      <c r="B54">
        <f>IF(ROUND(A54*$B$5,0)&gt;ROUND($B$3*$B$5,0),0,$B$4*$B$2/100/$B$5+IF(ROUND(A54*$B$5,0)=ROUND($B$3*$B$5,0),$B$4,0))</f>
        <v/>
      </c>
      <c r="C54">
        <f>IFERROR(VLOOKUP(A54,Courbe!$A$2:$B$121,2,FALSE),0)</f>
        <v/>
      </c>
      <c r="D54">
        <f>EXP(-C54/100*A54)</f>
        <v/>
      </c>
      <c r="E54">
        <f>B54*D54</f>
        <v/>
      </c>
      <c r="F54">
        <f>A54*E54</f>
        <v/>
      </c>
    </row>
    <row r="55">
      <c r="A55">
        <f>48/$B$5</f>
        <v/>
      </c>
      <c r="B55">
        <f>IF(ROUND(A55*$B$5,0)&gt;ROUND($B$3*$B$5,0),0,$B$4*$B$2/100/$B$5+IF(ROUND(A55*$B$5,0)=ROUND($B$3*$B$5,0),$B$4,0))</f>
        <v/>
      </c>
      <c r="C55">
        <f>IFERROR(VLOOKUP(A55,Courbe!$A$2:$B$121,2,FALSE),0)</f>
        <v/>
      </c>
      <c r="D55">
        <f>EXP(-C55/100*A55)</f>
        <v/>
      </c>
      <c r="E55">
        <f>B55*D55</f>
        <v/>
      </c>
      <c r="F55">
        <f>A55*E55</f>
        <v/>
      </c>
    </row>
    <row r="56">
      <c r="A56">
        <f>49/$B$5</f>
        <v/>
      </c>
      <c r="B56">
        <f>IF(ROUND(A56*$B$5,0)&gt;ROUND($B$3*$B$5,0),0,$B$4*$B$2/100/$B$5+IF(ROUND(A56*$B$5,0)=ROUND($B$3*$B$5,0),$B$4,0))</f>
        <v/>
      </c>
      <c r="C56">
        <f>IFERROR(VLOOKUP(A56,Courbe!$A$2:$B$121,2,FALSE),0)</f>
        <v/>
      </c>
      <c r="D56">
        <f>EXP(-C56/100*A56)</f>
        <v/>
      </c>
      <c r="E56">
        <f>B56*D56</f>
        <v/>
      </c>
      <c r="F56">
        <f>A56*E56</f>
        <v/>
      </c>
    </row>
    <row r="57">
      <c r="A57">
        <f>50/$B$5</f>
        <v/>
      </c>
      <c r="B57">
        <f>IF(ROUND(A57*$B$5,0)&gt;ROUND($B$3*$B$5,0),0,$B$4*$B$2/100/$B$5+IF(ROUND(A57*$B$5,0)=ROUND($B$3*$B$5,0),$B$4,0))</f>
        <v/>
      </c>
      <c r="C57">
        <f>IFERROR(VLOOKUP(A57,Courbe!$A$2:$B$121,2,FALSE),0)</f>
        <v/>
      </c>
      <c r="D57">
        <f>EXP(-C57/100*A57)</f>
        <v/>
      </c>
      <c r="E57">
        <f>B57*D57</f>
        <v/>
      </c>
      <c r="F57">
        <f>A57*E57</f>
        <v/>
      </c>
    </row>
    <row r="58">
      <c r="A58">
        <f>51/$B$5</f>
        <v/>
      </c>
      <c r="B58">
        <f>IF(ROUND(A58*$B$5,0)&gt;ROUND($B$3*$B$5,0),0,$B$4*$B$2/100/$B$5+IF(ROUND(A58*$B$5,0)=ROUND($B$3*$B$5,0),$B$4,0))</f>
        <v/>
      </c>
      <c r="C58">
        <f>IFERROR(VLOOKUP(A58,Courbe!$A$2:$B$121,2,FALSE),0)</f>
        <v/>
      </c>
      <c r="D58">
        <f>EXP(-C58/100*A58)</f>
        <v/>
      </c>
      <c r="E58">
        <f>B58*D58</f>
        <v/>
      </c>
      <c r="F58">
        <f>A58*E58</f>
        <v/>
      </c>
    </row>
    <row r="59">
      <c r="A59">
        <f>52/$B$5</f>
        <v/>
      </c>
      <c r="B59">
        <f>IF(ROUND(A59*$B$5,0)&gt;ROUND($B$3*$B$5,0),0,$B$4*$B$2/100/$B$5+IF(ROUND(A59*$B$5,0)=ROUND($B$3*$B$5,0),$B$4,0))</f>
        <v/>
      </c>
      <c r="C59">
        <f>IFERROR(VLOOKUP(A59,Courbe!$A$2:$B$121,2,FALSE),0)</f>
        <v/>
      </c>
      <c r="D59">
        <f>EXP(-C59/100*A59)</f>
        <v/>
      </c>
      <c r="E59">
        <f>B59*D59</f>
        <v/>
      </c>
      <c r="F59">
        <f>A59*E59</f>
        <v/>
      </c>
    </row>
    <row r="60">
      <c r="A60">
        <f>53/$B$5</f>
        <v/>
      </c>
      <c r="B60">
        <f>IF(ROUND(A60*$B$5,0)&gt;ROUND($B$3*$B$5,0),0,$B$4*$B$2/100/$B$5+IF(ROUND(A60*$B$5,0)=ROUND($B$3*$B$5,0),$B$4,0))</f>
        <v/>
      </c>
      <c r="C60">
        <f>IFERROR(VLOOKUP(A60,Courbe!$A$2:$B$121,2,FALSE),0)</f>
        <v/>
      </c>
      <c r="D60">
        <f>EXP(-C60/100*A60)</f>
        <v/>
      </c>
      <c r="E60">
        <f>B60*D60</f>
        <v/>
      </c>
      <c r="F60">
        <f>A60*E60</f>
        <v/>
      </c>
    </row>
    <row r="61">
      <c r="A61">
        <f>54/$B$5</f>
        <v/>
      </c>
      <c r="B61">
        <f>IF(ROUND(A61*$B$5,0)&gt;ROUND($B$3*$B$5,0),0,$B$4*$B$2/100/$B$5+IF(ROUND(A61*$B$5,0)=ROUND($B$3*$B$5,0),$B$4,0))</f>
        <v/>
      </c>
      <c r="C61">
        <f>IFERROR(VLOOKUP(A61,Courbe!$A$2:$B$121,2,FALSE),0)</f>
        <v/>
      </c>
      <c r="D61">
        <f>EXP(-C61/100*A61)</f>
        <v/>
      </c>
      <c r="E61">
        <f>B61*D61</f>
        <v/>
      </c>
      <c r="F61">
        <f>A61*E61</f>
        <v/>
      </c>
    </row>
    <row r="62">
      <c r="A62">
        <f>55/$B$5</f>
        <v/>
      </c>
      <c r="B62">
        <f>IF(ROUND(A62*$B$5,0)&gt;ROUND($B$3*$B$5,0),0,$B$4*$B$2/100/$B$5+IF(ROUND(A62*$B$5,0)=ROUND($B$3*$B$5,0),$B$4,0))</f>
        <v/>
      </c>
      <c r="C62">
        <f>IFERROR(VLOOKUP(A62,Courbe!$A$2:$B$121,2,FALSE),0)</f>
        <v/>
      </c>
      <c r="D62">
        <f>EXP(-C62/100*A62)</f>
        <v/>
      </c>
      <c r="E62">
        <f>B62*D62</f>
        <v/>
      </c>
      <c r="F62">
        <f>A62*E62</f>
        <v/>
      </c>
    </row>
    <row r="63">
      <c r="A63">
        <f>56/$B$5</f>
        <v/>
      </c>
      <c r="B63">
        <f>IF(ROUND(A63*$B$5,0)&gt;ROUND($B$3*$B$5,0),0,$B$4*$B$2/100/$B$5+IF(ROUND(A63*$B$5,0)=ROUND($B$3*$B$5,0),$B$4,0))</f>
        <v/>
      </c>
      <c r="C63">
        <f>IFERROR(VLOOKUP(A63,Courbe!$A$2:$B$121,2,FALSE),0)</f>
        <v/>
      </c>
      <c r="D63">
        <f>EXP(-C63/100*A63)</f>
        <v/>
      </c>
      <c r="E63">
        <f>B63*D63</f>
        <v/>
      </c>
      <c r="F63">
        <f>A63*E63</f>
        <v/>
      </c>
    </row>
    <row r="64">
      <c r="A64">
        <f>57/$B$5</f>
        <v/>
      </c>
      <c r="B64">
        <f>IF(ROUND(A64*$B$5,0)&gt;ROUND($B$3*$B$5,0),0,$B$4*$B$2/100/$B$5+IF(ROUND(A64*$B$5,0)=ROUND($B$3*$B$5,0),$B$4,0))</f>
        <v/>
      </c>
      <c r="C64">
        <f>IFERROR(VLOOKUP(A64,Courbe!$A$2:$B$121,2,FALSE),0)</f>
        <v/>
      </c>
      <c r="D64">
        <f>EXP(-C64/100*A64)</f>
        <v/>
      </c>
      <c r="E64">
        <f>B64*D64</f>
        <v/>
      </c>
      <c r="F64">
        <f>A64*E64</f>
        <v/>
      </c>
    </row>
    <row r="65">
      <c r="A65">
        <f>58/$B$5</f>
        <v/>
      </c>
      <c r="B65">
        <f>IF(ROUND(A65*$B$5,0)&gt;ROUND($B$3*$B$5,0),0,$B$4*$B$2/100/$B$5+IF(ROUND(A65*$B$5,0)=ROUND($B$3*$B$5,0),$B$4,0))</f>
        <v/>
      </c>
      <c r="C65">
        <f>IFERROR(VLOOKUP(A65,Courbe!$A$2:$B$121,2,FALSE),0)</f>
        <v/>
      </c>
      <c r="D65">
        <f>EXP(-C65/100*A65)</f>
        <v/>
      </c>
      <c r="E65">
        <f>B65*D65</f>
        <v/>
      </c>
      <c r="F65">
        <f>A65*E65</f>
        <v/>
      </c>
    </row>
    <row r="66">
      <c r="A66">
        <f>59/$B$5</f>
        <v/>
      </c>
      <c r="B66">
        <f>IF(ROUND(A66*$B$5,0)&gt;ROUND($B$3*$B$5,0),0,$B$4*$B$2/100/$B$5+IF(ROUND(A66*$B$5,0)=ROUND($B$3*$B$5,0),$B$4,0))</f>
        <v/>
      </c>
      <c r="C66">
        <f>IFERROR(VLOOKUP(A66,Courbe!$A$2:$B$121,2,FALSE),0)</f>
        <v/>
      </c>
      <c r="D66">
        <f>EXP(-C66/100*A66)</f>
        <v/>
      </c>
      <c r="E66">
        <f>B66*D66</f>
        <v/>
      </c>
      <c r="F66">
        <f>A66*E66</f>
        <v/>
      </c>
    </row>
    <row r="67">
      <c r="A67">
        <f>60/$B$5</f>
        <v/>
      </c>
      <c r="B67">
        <f>IF(ROUND(A67*$B$5,0)&gt;ROUND($B$3*$B$5,0),0,$B$4*$B$2/100/$B$5+IF(ROUND(A67*$B$5,0)=ROUND($B$3*$B$5,0),$B$4,0))</f>
        <v/>
      </c>
      <c r="C67">
        <f>IFERROR(VLOOKUP(A67,Courbe!$A$2:$B$121,2,FALSE),0)</f>
        <v/>
      </c>
      <c r="D67">
        <f>EXP(-C67/100*A67)</f>
        <v/>
      </c>
      <c r="E67">
        <f>B67*D67</f>
        <v/>
      </c>
      <c r="F67">
        <f>A67*E67</f>
        <v/>
      </c>
    </row>
    <row r="69">
      <c r="A69" s="1" t="inlineStr">
        <is>
          <t>Prix</t>
        </is>
      </c>
      <c r="B69">
        <f>SUM(E8:E67)</f>
        <v/>
      </c>
    </row>
    <row r="70">
      <c r="A70" s="1" t="inlineStr">
        <is>
          <t>Duration de Macaulay (années)</t>
        </is>
      </c>
      <c r="B70">
        <f>SUM(F8:F67)/B69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Échéance (années)</t>
        </is>
      </c>
      <c r="B1" s="1" t="inlineStr">
        <is>
          <t>Courbe de base (%)</t>
        </is>
      </c>
      <c r="C1" s="1" t="inlineStr">
        <is>
          <t>parallele_hausse</t>
        </is>
      </c>
      <c r="D1" s="1" t="inlineStr">
        <is>
          <t>parallele_baisse</t>
        </is>
      </c>
      <c r="E1" s="1" t="inlineStr">
        <is>
          <t>pentification</t>
        </is>
      </c>
      <c r="F1" s="1" t="inlineStr">
        <is>
          <t>aplatissement</t>
        </is>
      </c>
      <c r="G1" s="1" t="inlineStr">
        <is>
          <t>court_hausse</t>
        </is>
      </c>
      <c r="H1" s="1" t="inlineStr">
        <is>
          <t>court_baisse</t>
        </is>
      </c>
    </row>
    <row r="2">
      <c r="A2" t="n">
        <v>0.25</v>
      </c>
      <c r="B2">
        <f>Courbe!B2</f>
        <v/>
      </c>
      <c r="C2">
        <f>$B2+2.0</f>
        <v/>
      </c>
      <c r="D2">
        <f>$B2+-2.0</f>
        <v/>
      </c>
      <c r="E2">
        <f>$B2+-1.5838</f>
        <v/>
      </c>
      <c r="F2">
        <f>$B2+2.0031</f>
        <v/>
      </c>
      <c r="G2">
        <f>$B2+2.5834</f>
        <v/>
      </c>
      <c r="H2">
        <f>$B2+-2.5834</f>
        <v/>
      </c>
    </row>
    <row r="3">
      <c r="A3" t="n">
        <v>0.5</v>
      </c>
      <c r="B3">
        <f>Courbe!B3</f>
        <v/>
      </c>
      <c r="C3">
        <f>$B3+2.0</f>
        <v/>
      </c>
      <c r="D3">
        <f>$B3+-2.0</f>
        <v/>
      </c>
      <c r="E3">
        <f>$B3+-1.3924</f>
        <v/>
      </c>
      <c r="F3">
        <f>$B3+1.8181</f>
        <v/>
      </c>
      <c r="G3">
        <f>$B3+2.4269</f>
        <v/>
      </c>
      <c r="H3">
        <f>$B3+-2.4269</f>
        <v/>
      </c>
    </row>
    <row r="4">
      <c r="A4" t="n">
        <v>0.75</v>
      </c>
      <c r="B4">
        <f>Courbe!B4</f>
        <v/>
      </c>
      <c r="C4">
        <f>$B4+2.0</f>
        <v/>
      </c>
      <c r="D4">
        <f>$B4+-2.0</f>
        <v/>
      </c>
      <c r="E4">
        <f>$B4+-1.2126</f>
        <v/>
      </c>
      <c r="F4">
        <f>$B4+1.6443</f>
        <v/>
      </c>
      <c r="G4">
        <f>$B4+2.2798</f>
        <v/>
      </c>
      <c r="H4">
        <f>$B4+-2.2798</f>
        <v/>
      </c>
    </row>
    <row r="5">
      <c r="A5" t="n">
        <v>1</v>
      </c>
      <c r="B5">
        <f>Courbe!B5</f>
        <v/>
      </c>
      <c r="C5">
        <f>$B5+2.0</f>
        <v/>
      </c>
      <c r="D5">
        <f>$B5+-2.0</f>
        <v/>
      </c>
      <c r="E5">
        <f>$B5+-1.0437</f>
        <v/>
      </c>
      <c r="F5">
        <f>$B5+1.4811</f>
        <v/>
      </c>
      <c r="G5">
        <f>$B5+2.1417</f>
        <v/>
      </c>
      <c r="H5">
        <f>$B5+-2.1417</f>
        <v/>
      </c>
    </row>
    <row r="6">
      <c r="A6" t="n">
        <v>1.25</v>
      </c>
      <c r="B6">
        <f>Courbe!B6</f>
        <v/>
      </c>
      <c r="C6">
        <f>$B6+2.0</f>
        <v/>
      </c>
      <c r="D6">
        <f>$B6+-2.0</f>
        <v/>
      </c>
      <c r="E6">
        <f>$B6+-0.8851</f>
        <v/>
      </c>
      <c r="F6">
        <f>$B6+1.3278</f>
        <v/>
      </c>
      <c r="G6">
        <f>$B6+2.0119</f>
        <v/>
      </c>
      <c r="H6">
        <f>$B6+-2.0119</f>
        <v/>
      </c>
    </row>
    <row r="7">
      <c r="A7" t="n">
        <v>1.5</v>
      </c>
      <c r="B7">
        <f>Courbe!B7</f>
        <v/>
      </c>
      <c r="C7">
        <f>$B7+2.0</f>
        <v/>
      </c>
      <c r="D7">
        <f>$B7+-2.0</f>
        <v/>
      </c>
      <c r="E7">
        <f>$B7+-0.736</f>
        <v/>
      </c>
      <c r="F7">
        <f>$B7+1.1837</f>
        <v/>
      </c>
      <c r="G7">
        <f>$B7+1.89</f>
        <v/>
      </c>
      <c r="H7">
        <f>$B7+-1.89</f>
        <v/>
      </c>
    </row>
    <row r="8">
      <c r="A8" t="n">
        <v>1.75</v>
      </c>
      <c r="B8">
        <f>Courbe!B8</f>
        <v/>
      </c>
      <c r="C8">
        <f>$B8+2.0</f>
        <v/>
      </c>
      <c r="D8">
        <f>$B8+-2.0</f>
        <v/>
      </c>
      <c r="E8">
        <f>$B8+-0.596</f>
        <v/>
      </c>
      <c r="F8">
        <f>$B8+1.0484</f>
        <v/>
      </c>
      <c r="G8">
        <f>$B8+1.7755</f>
        <v/>
      </c>
      <c r="H8">
        <f>$B8+-1.7755</f>
        <v/>
      </c>
    </row>
    <row r="9">
      <c r="A9" t="n">
        <v>2</v>
      </c>
      <c r="B9">
        <f>Courbe!B9</f>
        <v/>
      </c>
      <c r="C9">
        <f>$B9+2.0</f>
        <v/>
      </c>
      <c r="D9">
        <f>$B9+-2.0</f>
        <v/>
      </c>
      <c r="E9">
        <f>$B9+-0.4645</f>
        <v/>
      </c>
      <c r="F9">
        <f>$B9+0.9212</f>
        <v/>
      </c>
      <c r="G9">
        <f>$B9+1.668</f>
        <v/>
      </c>
      <c r="H9">
        <f>$B9+-1.668</f>
        <v/>
      </c>
    </row>
    <row r="10">
      <c r="A10" t="n">
        <v>2.25</v>
      </c>
      <c r="B10">
        <f>Courbe!B10</f>
        <v/>
      </c>
      <c r="C10">
        <f>$B10+2.0</f>
        <v/>
      </c>
      <c r="D10">
        <f>$B10+-2.0</f>
        <v/>
      </c>
      <c r="E10">
        <f>$B10+-0.3409</f>
        <v/>
      </c>
      <c r="F10">
        <f>$B10+0.8018</f>
        <v/>
      </c>
      <c r="G10">
        <f>$B10+1.5669</f>
        <v/>
      </c>
      <c r="H10">
        <f>$B10+-1.5669</f>
        <v/>
      </c>
    </row>
    <row r="11">
      <c r="A11" t="n">
        <v>2.5</v>
      </c>
      <c r="B11">
        <f>Courbe!B11</f>
        <v/>
      </c>
      <c r="C11">
        <f>$B11+2.0</f>
        <v/>
      </c>
      <c r="D11">
        <f>$B11+-2.0</f>
        <v/>
      </c>
      <c r="E11">
        <f>$B11+-0.2248</f>
        <v/>
      </c>
      <c r="F11">
        <f>$B11+0.6896</f>
        <v/>
      </c>
      <c r="G11">
        <f>$B11+1.472</f>
        <v/>
      </c>
      <c r="H11">
        <f>$B11+-1.472</f>
        <v/>
      </c>
    </row>
    <row r="12">
      <c r="A12" t="n">
        <v>2.75</v>
      </c>
      <c r="B12">
        <f>Courbe!B12</f>
        <v/>
      </c>
      <c r="C12">
        <f>$B12+2.0</f>
        <v/>
      </c>
      <c r="D12">
        <f>$B12+-2.0</f>
        <v/>
      </c>
      <c r="E12">
        <f>$B12+-0.1158</f>
        <v/>
      </c>
      <c r="F12">
        <f>$B12+0.5842</f>
        <v/>
      </c>
      <c r="G12">
        <f>$B12+1.3828</f>
        <v/>
      </c>
      <c r="H12">
        <f>$B12+-1.3828</f>
        <v/>
      </c>
    </row>
    <row r="13">
      <c r="A13" t="n">
        <v>3</v>
      </c>
      <c r="B13">
        <f>Courbe!B13</f>
        <v/>
      </c>
      <c r="C13">
        <f>$B13+2.0</f>
        <v/>
      </c>
      <c r="D13">
        <f>$B13+-2.0</f>
        <v/>
      </c>
      <c r="E13">
        <f>$B13+-0.0133</f>
        <v/>
      </c>
      <c r="F13">
        <f>$B13+0.4852</f>
        <v/>
      </c>
      <c r="G13">
        <f>$B13+1.299</f>
        <v/>
      </c>
      <c r="H13">
        <f>$B13+-1.299</f>
        <v/>
      </c>
    </row>
    <row r="14">
      <c r="A14" t="n">
        <v>3.25</v>
      </c>
      <c r="B14">
        <f>Courbe!B14</f>
        <v/>
      </c>
      <c r="C14">
        <f>$B14+2.0</f>
        <v/>
      </c>
      <c r="D14">
        <f>$B14+-2.0</f>
        <v/>
      </c>
      <c r="E14">
        <f>$B14+0.0829</f>
        <v/>
      </c>
      <c r="F14">
        <f>$B14+0.3922</f>
        <v/>
      </c>
      <c r="G14">
        <f>$B14+1.2203</f>
        <v/>
      </c>
      <c r="H14">
        <f>$B14+-1.2203</f>
        <v/>
      </c>
    </row>
    <row r="15">
      <c r="A15" t="n">
        <v>3.5</v>
      </c>
      <c r="B15">
        <f>Courbe!B15</f>
        <v/>
      </c>
      <c r="C15">
        <f>$B15+2.0</f>
        <v/>
      </c>
      <c r="D15">
        <f>$B15+-2.0</f>
        <v/>
      </c>
      <c r="E15">
        <f>$B15+0.1733</f>
        <v/>
      </c>
      <c r="F15">
        <f>$B15+0.3048</f>
        <v/>
      </c>
      <c r="G15">
        <f>$B15+1.1464</f>
        <v/>
      </c>
      <c r="H15">
        <f>$B15+-1.1464</f>
        <v/>
      </c>
    </row>
    <row r="16">
      <c r="A16" t="n">
        <v>3.75</v>
      </c>
      <c r="B16">
        <f>Courbe!B16</f>
        <v/>
      </c>
      <c r="C16">
        <f>$B16+2.0</f>
        <v/>
      </c>
      <c r="D16">
        <f>$B16+-2.0</f>
        <v/>
      </c>
      <c r="E16">
        <f>$B16+0.2582</f>
        <v/>
      </c>
      <c r="F16">
        <f>$B16+0.2227</f>
        <v/>
      </c>
      <c r="G16">
        <f>$B16+1.0769</f>
        <v/>
      </c>
      <c r="H16">
        <f>$B16+-1.0769</f>
        <v/>
      </c>
    </row>
    <row r="17">
      <c r="A17" t="n">
        <v>4</v>
      </c>
      <c r="B17">
        <f>Courbe!B17</f>
        <v/>
      </c>
      <c r="C17">
        <f>$B17+2.0</f>
        <v/>
      </c>
      <c r="D17">
        <f>$B17+-2.0</f>
        <v/>
      </c>
      <c r="E17">
        <f>$B17+0.338</f>
        <v/>
      </c>
      <c r="F17">
        <f>$B17+0.1456</f>
        <v/>
      </c>
      <c r="G17">
        <f>$B17+1.0117</f>
        <v/>
      </c>
      <c r="H17">
        <f>$B17+-1.0117</f>
        <v/>
      </c>
    </row>
    <row r="18">
      <c r="A18" t="n">
        <v>4.25</v>
      </c>
      <c r="B18">
        <f>Courbe!B18</f>
        <v/>
      </c>
      <c r="C18">
        <f>$B18+2.0</f>
        <v/>
      </c>
      <c r="D18">
        <f>$B18+-2.0</f>
        <v/>
      </c>
      <c r="E18">
        <f>$B18+0.413</f>
        <v/>
      </c>
      <c r="F18">
        <f>$B18+0.0732</f>
        <v/>
      </c>
      <c r="G18">
        <f>$B18+0.9504</f>
        <v/>
      </c>
      <c r="H18">
        <f>$B18+-0.9504</f>
        <v/>
      </c>
    </row>
    <row r="19">
      <c r="A19" t="n">
        <v>4.5</v>
      </c>
      <c r="B19">
        <f>Courbe!B19</f>
        <v/>
      </c>
      <c r="C19">
        <f>$B19+2.0</f>
        <v/>
      </c>
      <c r="D19">
        <f>$B19+-2.0</f>
        <v/>
      </c>
      <c r="E19">
        <f>$B19+0.4834</f>
        <v/>
      </c>
      <c r="F19">
        <f>$B19+0.0051</f>
        <v/>
      </c>
      <c r="G19">
        <f>$B19+0.8928</f>
        <v/>
      </c>
      <c r="H19">
        <f>$B19+-0.8928</f>
        <v/>
      </c>
    </row>
    <row r="20">
      <c r="A20" t="n">
        <v>4.75</v>
      </c>
      <c r="B20">
        <f>Courbe!B20</f>
        <v/>
      </c>
      <c r="C20">
        <f>$B20+2.0</f>
        <v/>
      </c>
      <c r="D20">
        <f>$B20+-2.0</f>
        <v/>
      </c>
      <c r="E20">
        <f>$B20+0.5495</f>
        <v/>
      </c>
      <c r="F20">
        <f>$B20+-0.0588</f>
        <v/>
      </c>
      <c r="G20">
        <f>$B20+0.8387</f>
        <v/>
      </c>
      <c r="H20">
        <f>$B20+-0.8387</f>
        <v/>
      </c>
    </row>
    <row r="21">
      <c r="A21" t="n">
        <v>5</v>
      </c>
      <c r="B21">
        <f>Courbe!B21</f>
        <v/>
      </c>
      <c r="C21">
        <f>$B21+2.0</f>
        <v/>
      </c>
      <c r="D21">
        <f>$B21+-2.0</f>
        <v/>
      </c>
      <c r="E21">
        <f>$B21+0.6116</f>
        <v/>
      </c>
      <c r="F21">
        <f>$B21+-0.1189</f>
        <v/>
      </c>
      <c r="G21">
        <f>$B21+0.7879</f>
        <v/>
      </c>
      <c r="H21">
        <f>$B21+-0.7879</f>
        <v/>
      </c>
    </row>
    <row r="22">
      <c r="A22" t="n">
        <v>5.25</v>
      </c>
      <c r="B22">
        <f>Courbe!B22</f>
        <v/>
      </c>
      <c r="C22">
        <f>$B22+2.0</f>
        <v/>
      </c>
      <c r="D22">
        <f>$B22+-2.0</f>
        <v/>
      </c>
      <c r="E22">
        <f>$B22+0.67</f>
        <v/>
      </c>
      <c r="F22">
        <f>$B22+-0.1753</f>
        <v/>
      </c>
      <c r="G22">
        <f>$B22+0.7402</f>
        <v/>
      </c>
      <c r="H22">
        <f>$B22+-0.7402</f>
        <v/>
      </c>
    </row>
    <row r="23">
      <c r="A23" t="n">
        <v>5.5</v>
      </c>
      <c r="B23">
        <f>Courbe!B23</f>
        <v/>
      </c>
      <c r="C23">
        <f>$B23+2.0</f>
        <v/>
      </c>
      <c r="D23">
        <f>$B23+-2.0</f>
        <v/>
      </c>
      <c r="E23">
        <f>$B23+0.7248</f>
        <v/>
      </c>
      <c r="F23">
        <f>$B23+-0.2283</f>
        <v/>
      </c>
      <c r="G23">
        <f>$B23+0.6953</f>
        <v/>
      </c>
      <c r="H23">
        <f>$B23+-0.6953</f>
        <v/>
      </c>
    </row>
    <row r="24">
      <c r="A24" t="n">
        <v>5.75</v>
      </c>
      <c r="B24">
        <f>Courbe!B24</f>
        <v/>
      </c>
      <c r="C24">
        <f>$B24+2.0</f>
        <v/>
      </c>
      <c r="D24">
        <f>$B24+-2.0</f>
        <v/>
      </c>
      <c r="E24">
        <f>$B24+0.7763</f>
        <v/>
      </c>
      <c r="F24">
        <f>$B24+-0.2781</f>
        <v/>
      </c>
      <c r="G24">
        <f>$B24+0.6532</f>
        <v/>
      </c>
      <c r="H24">
        <f>$B24+-0.6532</f>
        <v/>
      </c>
    </row>
    <row r="25">
      <c r="A25" t="n">
        <v>6</v>
      </c>
      <c r="B25">
        <f>Courbe!B25</f>
        <v/>
      </c>
      <c r="C25">
        <f>$B25+2.0</f>
        <v/>
      </c>
      <c r="D25">
        <f>$B25+-2.0</f>
        <v/>
      </c>
      <c r="E25">
        <f>$B25+0.8247</f>
        <v/>
      </c>
      <c r="F25">
        <f>$B25+-0.3248</f>
        <v/>
      </c>
      <c r="G25">
        <f>$B25+0.6136</f>
        <v/>
      </c>
      <c r="H25">
        <f>$B25+-0.6136</f>
        <v/>
      </c>
    </row>
    <row r="26">
      <c r="A26" t="n">
        <v>6.25</v>
      </c>
      <c r="B26">
        <f>Courbe!B26</f>
        <v/>
      </c>
      <c r="C26">
        <f>$B26+2.0</f>
        <v/>
      </c>
      <c r="D26">
        <f>$B26+-2.0</f>
        <v/>
      </c>
      <c r="E26">
        <f>$B26+0.8702</f>
        <v/>
      </c>
      <c r="F26">
        <f>$B26+-0.3688</f>
        <v/>
      </c>
      <c r="G26">
        <f>$B26+0.5764</f>
        <v/>
      </c>
      <c r="H26">
        <f>$B26+-0.5764</f>
        <v/>
      </c>
    </row>
    <row r="27">
      <c r="A27" t="n">
        <v>6.5</v>
      </c>
      <c r="B27">
        <f>Courbe!B27</f>
        <v/>
      </c>
      <c r="C27">
        <f>$B27+2.0</f>
        <v/>
      </c>
      <c r="D27">
        <f>$B27+-2.0</f>
        <v/>
      </c>
      <c r="E27">
        <f>$B27+0.9129</f>
        <v/>
      </c>
      <c r="F27">
        <f>$B27+-0.41</f>
        <v/>
      </c>
      <c r="G27">
        <f>$B27+0.5415</f>
        <v/>
      </c>
      <c r="H27">
        <f>$B27+-0.5415</f>
        <v/>
      </c>
    </row>
    <row r="28">
      <c r="A28" t="n">
        <v>6.75</v>
      </c>
      <c r="B28">
        <f>Courbe!B28</f>
        <v/>
      </c>
      <c r="C28">
        <f>$B28+2.0</f>
        <v/>
      </c>
      <c r="D28">
        <f>$B28+-2.0</f>
        <v/>
      </c>
      <c r="E28">
        <f>$B28+0.953</f>
        <v/>
      </c>
      <c r="F28">
        <f>$B28+-0.4488</f>
        <v/>
      </c>
      <c r="G28">
        <f>$B28+0.5087</f>
        <v/>
      </c>
      <c r="H28">
        <f>$B28+-0.5087</f>
        <v/>
      </c>
    </row>
    <row r="29">
      <c r="A29" t="n">
        <v>7</v>
      </c>
      <c r="B29">
        <f>Courbe!B29</f>
        <v/>
      </c>
      <c r="C29">
        <f>$B29+2.0</f>
        <v/>
      </c>
      <c r="D29">
        <f>$B29+-2.0</f>
        <v/>
      </c>
      <c r="E29">
        <f>$B29+0.9907</f>
        <v/>
      </c>
      <c r="F29">
        <f>$B29+-0.4852</f>
        <v/>
      </c>
      <c r="G29">
        <f>$B29+0.4779</f>
        <v/>
      </c>
      <c r="H29">
        <f>$B29+-0.4779</f>
        <v/>
      </c>
    </row>
    <row r="30">
      <c r="A30" t="n">
        <v>7.25</v>
      </c>
      <c r="B30">
        <f>Courbe!B30</f>
        <v/>
      </c>
      <c r="C30">
        <f>$B30+2.0</f>
        <v/>
      </c>
      <c r="D30">
        <f>$B30+-2.0</f>
        <v/>
      </c>
      <c r="E30">
        <f>$B30+1.0261</f>
        <v/>
      </c>
      <c r="F30">
        <f>$B30+-0.5195</f>
        <v/>
      </c>
      <c r="G30">
        <f>$B30+0.4489</f>
        <v/>
      </c>
      <c r="H30">
        <f>$B30+-0.4489</f>
        <v/>
      </c>
    </row>
    <row r="31">
      <c r="A31" t="n">
        <v>7.5</v>
      </c>
      <c r="B31">
        <f>Courbe!B31</f>
        <v/>
      </c>
      <c r="C31">
        <f>$B31+2.0</f>
        <v/>
      </c>
      <c r="D31">
        <f>$B31+-2.0</f>
        <v/>
      </c>
      <c r="E31">
        <f>$B31+1.0593</f>
        <v/>
      </c>
      <c r="F31">
        <f>$B31+-0.5516</f>
        <v/>
      </c>
      <c r="G31">
        <f>$B31+0.4217</f>
        <v/>
      </c>
      <c r="H31">
        <f>$B31+-0.4217</f>
        <v/>
      </c>
    </row>
    <row r="32">
      <c r="A32" t="n">
        <v>7.75</v>
      </c>
      <c r="B32">
        <f>Courbe!B32</f>
        <v/>
      </c>
      <c r="C32">
        <f>$B32+2.0</f>
        <v/>
      </c>
      <c r="D32">
        <f>$B32+-2.0</f>
        <v/>
      </c>
      <c r="E32">
        <f>$B32+1.0906</f>
        <v/>
      </c>
      <c r="F32">
        <f>$B32+-0.5818</f>
        <v/>
      </c>
      <c r="G32">
        <f>$B32+0.3962</f>
        <v/>
      </c>
      <c r="H32">
        <f>$B32+-0.3962</f>
        <v/>
      </c>
    </row>
    <row r="33">
      <c r="A33" t="n">
        <v>8</v>
      </c>
      <c r="B33">
        <f>Courbe!B33</f>
        <v/>
      </c>
      <c r="C33">
        <f>$B33+2.0</f>
        <v/>
      </c>
      <c r="D33">
        <f>$B33+-2.0</f>
        <v/>
      </c>
      <c r="E33">
        <f>$B33+1.1199</f>
        <v/>
      </c>
      <c r="F33">
        <f>$B33+-0.6102</f>
        <v/>
      </c>
      <c r="G33">
        <f>$B33+0.3722</f>
        <v/>
      </c>
      <c r="H33">
        <f>$B33+-0.3722</f>
        <v/>
      </c>
    </row>
    <row r="34">
      <c r="A34" t="n">
        <v>8.25</v>
      </c>
      <c r="B34">
        <f>Courbe!B34</f>
        <v/>
      </c>
      <c r="C34">
        <f>$B34+2.0</f>
        <v/>
      </c>
      <c r="D34">
        <f>$B34+-2.0</f>
        <v/>
      </c>
      <c r="E34">
        <f>$B34+1.1475</f>
        <v/>
      </c>
      <c r="F34">
        <f>$B34+-0.6368</f>
        <v/>
      </c>
      <c r="G34">
        <f>$B34+0.3496</f>
        <v/>
      </c>
      <c r="H34">
        <f>$B34+-0.3496</f>
        <v/>
      </c>
    </row>
    <row r="35">
      <c r="A35" t="n">
        <v>8.5</v>
      </c>
      <c r="B35">
        <f>Courbe!B35</f>
        <v/>
      </c>
      <c r="C35">
        <f>$B35+2.0</f>
        <v/>
      </c>
      <c r="D35">
        <f>$B35+-2.0</f>
        <v/>
      </c>
      <c r="E35">
        <f>$B35+1.1734</f>
        <v/>
      </c>
      <c r="F35">
        <f>$B35+-0.6618</f>
        <v/>
      </c>
      <c r="G35">
        <f>$B35+0.3284</f>
        <v/>
      </c>
      <c r="H35">
        <f>$B35+-0.3284</f>
        <v/>
      </c>
    </row>
    <row r="36">
      <c r="A36" t="n">
        <v>8.75</v>
      </c>
      <c r="B36">
        <f>Courbe!B36</f>
        <v/>
      </c>
      <c r="C36">
        <f>$B36+2.0</f>
        <v/>
      </c>
      <c r="D36">
        <f>$B36+-2.0</f>
        <v/>
      </c>
      <c r="E36">
        <f>$B36+1.1977</f>
        <v/>
      </c>
      <c r="F36">
        <f>$B36+-0.6854</f>
        <v/>
      </c>
      <c r="G36">
        <f>$B36+0.3085</f>
        <v/>
      </c>
      <c r="H36">
        <f>$B36+-0.3085</f>
        <v/>
      </c>
    </row>
    <row r="37">
      <c r="A37" t="n">
        <v>9</v>
      </c>
      <c r="B37">
        <f>Courbe!B37</f>
        <v/>
      </c>
      <c r="C37">
        <f>$B37+2.0</f>
        <v/>
      </c>
      <c r="D37">
        <f>$B37+-2.0</f>
        <v/>
      </c>
      <c r="E37">
        <f>$B37+1.2206</f>
        <v/>
      </c>
      <c r="F37">
        <f>$B37+-0.7075</f>
        <v/>
      </c>
      <c r="G37">
        <f>$B37+0.2898</f>
        <v/>
      </c>
      <c r="H37">
        <f>$B37+-0.2898</f>
        <v/>
      </c>
    </row>
    <row r="38">
      <c r="A38" t="n">
        <v>9.25</v>
      </c>
      <c r="B38">
        <f>Courbe!B38</f>
        <v/>
      </c>
      <c r="C38">
        <f>$B38+2.0</f>
        <v/>
      </c>
      <c r="D38">
        <f>$B38+-2.0</f>
        <v/>
      </c>
      <c r="E38">
        <f>$B38+1.2421</f>
        <v/>
      </c>
      <c r="F38">
        <f>$B38+-0.7282</f>
        <v/>
      </c>
      <c r="G38">
        <f>$B38+0.2723</f>
        <v/>
      </c>
      <c r="H38">
        <f>$B38+-0.2723</f>
        <v/>
      </c>
    </row>
    <row r="39">
      <c r="A39" t="n">
        <v>9.5</v>
      </c>
      <c r="B39">
        <f>Courbe!B39</f>
        <v/>
      </c>
      <c r="C39">
        <f>$B39+2.0</f>
        <v/>
      </c>
      <c r="D39">
        <f>$B39+-2.0</f>
        <v/>
      </c>
      <c r="E39">
        <f>$B39+1.2622</f>
        <v/>
      </c>
      <c r="F39">
        <f>$B39+-0.7477</f>
        <v/>
      </c>
      <c r="G39">
        <f>$B39+0.2558</f>
        <v/>
      </c>
      <c r="H39">
        <f>$B39+-0.2558</f>
        <v/>
      </c>
    </row>
    <row r="40">
      <c r="A40" t="n">
        <v>9.75</v>
      </c>
      <c r="B40">
        <f>Courbe!B40</f>
        <v/>
      </c>
      <c r="C40">
        <f>$B40+2.0</f>
        <v/>
      </c>
      <c r="D40">
        <f>$B40+-2.0</f>
        <v/>
      </c>
      <c r="E40">
        <f>$B40+1.2812</f>
        <v/>
      </c>
      <c r="F40">
        <f>$B40+-0.766</f>
        <v/>
      </c>
      <c r="G40">
        <f>$B40+0.2403</f>
        <v/>
      </c>
      <c r="H40">
        <f>$B40+-0.2403</f>
        <v/>
      </c>
    </row>
    <row r="41">
      <c r="A41" t="n">
        <v>10</v>
      </c>
      <c r="B41">
        <f>Courbe!B41</f>
        <v/>
      </c>
      <c r="C41">
        <f>$B41+2.0</f>
        <v/>
      </c>
      <c r="D41">
        <f>$B41+-2.0</f>
        <v/>
      </c>
      <c r="E41">
        <f>$B41+1.299</f>
        <v/>
      </c>
      <c r="F41">
        <f>$B41+-0.7832</f>
        <v/>
      </c>
      <c r="G41">
        <f>$B41+0.2257</f>
        <v/>
      </c>
      <c r="H41">
        <f>$B41+-0.2257</f>
        <v/>
      </c>
    </row>
    <row r="42">
      <c r="A42" t="n">
        <v>10.25</v>
      </c>
      <c r="B42">
        <f>Courbe!B42</f>
        <v/>
      </c>
      <c r="C42">
        <f>$B42+2.0</f>
        <v/>
      </c>
      <c r="D42">
        <f>$B42+-2.0</f>
        <v/>
      </c>
      <c r="E42">
        <f>$B42+1.3157</f>
        <v/>
      </c>
      <c r="F42">
        <f>$B42+-0.7994</f>
        <v/>
      </c>
      <c r="G42">
        <f>$B42+0.2121</f>
        <v/>
      </c>
      <c r="H42">
        <f>$B42+-0.2121</f>
        <v/>
      </c>
    </row>
    <row r="43">
      <c r="A43" t="n">
        <v>10.5</v>
      </c>
      <c r="B43">
        <f>Courbe!B43</f>
        <v/>
      </c>
      <c r="C43">
        <f>$B43+2.0</f>
        <v/>
      </c>
      <c r="D43">
        <f>$B43+-2.0</f>
        <v/>
      </c>
      <c r="E43">
        <f>$B43+1.3314</f>
        <v/>
      </c>
      <c r="F43">
        <f>$B43+-0.8146</f>
        <v/>
      </c>
      <c r="G43">
        <f>$B43+0.1992</f>
        <v/>
      </c>
      <c r="H43">
        <f>$B43+-0.1992</f>
        <v/>
      </c>
    </row>
    <row r="44">
      <c r="A44" t="n">
        <v>10.75</v>
      </c>
      <c r="B44">
        <f>Courbe!B44</f>
        <v/>
      </c>
      <c r="C44">
        <f>$B44+2.0</f>
        <v/>
      </c>
      <c r="D44">
        <f>$B44+-2.0</f>
        <v/>
      </c>
      <c r="E44">
        <f>$B44+1.3462</f>
        <v/>
      </c>
      <c r="F44">
        <f>$B44+-0.8288</f>
        <v/>
      </c>
      <c r="G44">
        <f>$B44+0.1871</f>
        <v/>
      </c>
      <c r="H44">
        <f>$B44+-0.1871</f>
        <v/>
      </c>
    </row>
    <row r="45">
      <c r="A45" t="n">
        <v>11</v>
      </c>
      <c r="B45">
        <f>Courbe!B45</f>
        <v/>
      </c>
      <c r="C45">
        <f>$B45+2.0</f>
        <v/>
      </c>
      <c r="D45">
        <f>$B45+-2.0</f>
        <v/>
      </c>
      <c r="E45">
        <f>$B45+1.36</f>
        <v/>
      </c>
      <c r="F45">
        <f>$B45+-0.8422</f>
        <v/>
      </c>
      <c r="G45">
        <f>$B45+0.1758</f>
        <v/>
      </c>
      <c r="H45">
        <f>$B45+-0.1758</f>
        <v/>
      </c>
    </row>
    <row r="46">
      <c r="A46" t="n">
        <v>11.25</v>
      </c>
      <c r="B46">
        <f>Courbe!B46</f>
        <v/>
      </c>
      <c r="C46">
        <f>$B46+2.0</f>
        <v/>
      </c>
      <c r="D46">
        <f>$B46+-2.0</f>
        <v/>
      </c>
      <c r="E46">
        <f>$B46+1.3731</f>
        <v/>
      </c>
      <c r="F46">
        <f>$B46+-0.8548</f>
        <v/>
      </c>
      <c r="G46">
        <f>$B46+0.1652</f>
        <v/>
      </c>
      <c r="H46">
        <f>$B46+-0.1652</f>
        <v/>
      </c>
    </row>
    <row r="47">
      <c r="A47" t="n">
        <v>11.5</v>
      </c>
      <c r="B47">
        <f>Courbe!B47</f>
        <v/>
      </c>
      <c r="C47">
        <f>$B47+2.0</f>
        <v/>
      </c>
      <c r="D47">
        <f>$B47+-2.0</f>
        <v/>
      </c>
      <c r="E47">
        <f>$B47+1.3853</f>
        <v/>
      </c>
      <c r="F47">
        <f>$B47+-0.8666</f>
        <v/>
      </c>
      <c r="G47">
        <f>$B47+0.1551</f>
        <v/>
      </c>
      <c r="H47">
        <f>$B47+-0.1551</f>
        <v/>
      </c>
    </row>
    <row r="48">
      <c r="A48" t="n">
        <v>11.75</v>
      </c>
      <c r="B48">
        <f>Courbe!B48</f>
        <v/>
      </c>
      <c r="C48">
        <f>$B48+2.0</f>
        <v/>
      </c>
      <c r="D48">
        <f>$B48+-2.0</f>
        <v/>
      </c>
      <c r="E48">
        <f>$B48+1.3968</f>
        <v/>
      </c>
      <c r="F48">
        <f>$B48+-0.8778</f>
        <v/>
      </c>
      <c r="G48">
        <f>$B48+0.1457</f>
        <v/>
      </c>
      <c r="H48">
        <f>$B48+-0.1457</f>
        <v/>
      </c>
    </row>
    <row r="49">
      <c r="A49" t="n">
        <v>12</v>
      </c>
      <c r="B49">
        <f>Courbe!B49</f>
        <v/>
      </c>
      <c r="C49">
        <f>$B49+2.0</f>
        <v/>
      </c>
      <c r="D49">
        <f>$B49+-2.0</f>
        <v/>
      </c>
      <c r="E49">
        <f>$B49+1.4076</f>
        <v/>
      </c>
      <c r="F49">
        <f>$B49+-0.8882</f>
        <v/>
      </c>
      <c r="G49">
        <f>$B49+0.1369</f>
        <v/>
      </c>
      <c r="H49">
        <f>$B49+-0.1369</f>
        <v/>
      </c>
    </row>
    <row r="50">
      <c r="A50" t="n">
        <v>12.25</v>
      </c>
      <c r="B50">
        <f>Courbe!B50</f>
        <v/>
      </c>
      <c r="C50">
        <f>$B50+2.0</f>
        <v/>
      </c>
      <c r="D50">
        <f>$B50+-2.0</f>
        <v/>
      </c>
      <c r="E50">
        <f>$B50+1.4177</f>
        <v/>
      </c>
      <c r="F50">
        <f>$B50+-0.898</f>
        <v/>
      </c>
      <c r="G50">
        <f>$B50+0.1286</f>
        <v/>
      </c>
      <c r="H50">
        <f>$B50+-0.1286</f>
        <v/>
      </c>
    </row>
    <row r="51">
      <c r="A51" t="n">
        <v>12.5</v>
      </c>
      <c r="B51">
        <f>Courbe!B51</f>
        <v/>
      </c>
      <c r="C51">
        <f>$B51+2.0</f>
        <v/>
      </c>
      <c r="D51">
        <f>$B51+-2.0</f>
        <v/>
      </c>
      <c r="E51">
        <f>$B51+1.4273</f>
        <v/>
      </c>
      <c r="F51">
        <f>$B51+-0.9072</f>
        <v/>
      </c>
      <c r="G51">
        <f>$B51+0.1208</f>
        <v/>
      </c>
      <c r="H51">
        <f>$B51+-0.1208</f>
        <v/>
      </c>
    </row>
    <row r="52">
      <c r="A52" t="n">
        <v>12.75</v>
      </c>
      <c r="B52">
        <f>Courbe!B52</f>
        <v/>
      </c>
      <c r="C52">
        <f>$B52+2.0</f>
        <v/>
      </c>
      <c r="D52">
        <f>$B52+-2.0</f>
        <v/>
      </c>
      <c r="E52">
        <f>$B52+1.4362</f>
        <v/>
      </c>
      <c r="F52">
        <f>$B52+-0.9159</f>
        <v/>
      </c>
      <c r="G52">
        <f>$B52+0.1135</f>
        <v/>
      </c>
      <c r="H52">
        <f>$B52+-0.1135</f>
        <v/>
      </c>
    </row>
    <row r="53">
      <c r="A53" t="n">
        <v>13</v>
      </c>
      <c r="B53">
        <f>Courbe!B53</f>
        <v/>
      </c>
      <c r="C53">
        <f>$B53+2.0</f>
        <v/>
      </c>
      <c r="D53">
        <f>$B53+-2.0</f>
        <v/>
      </c>
      <c r="E53">
        <f>$B53+1.4446</f>
        <v/>
      </c>
      <c r="F53">
        <f>$B53+-0.924</f>
        <v/>
      </c>
      <c r="G53">
        <f>$B53+0.1066</f>
        <v/>
      </c>
      <c r="H53">
        <f>$B53+-0.1066</f>
        <v/>
      </c>
    </row>
    <row r="54">
      <c r="A54" t="n">
        <v>13.25</v>
      </c>
      <c r="B54">
        <f>Courbe!B54</f>
        <v/>
      </c>
      <c r="C54">
        <f>$B54+2.0</f>
        <v/>
      </c>
      <c r="D54">
        <f>$B54+-2.0</f>
        <v/>
      </c>
      <c r="E54">
        <f>$B54+1.4525</f>
        <v/>
      </c>
      <c r="F54">
        <f>$B54+-0.9316</f>
        <v/>
      </c>
      <c r="G54">
        <f>$B54+0.1002</f>
        <v/>
      </c>
      <c r="H54">
        <f>$B54+-0.1002</f>
        <v/>
      </c>
    </row>
    <row r="55">
      <c r="A55" t="n">
        <v>13.5</v>
      </c>
      <c r="B55">
        <f>Courbe!B55</f>
        <v/>
      </c>
      <c r="C55">
        <f>$B55+2.0</f>
        <v/>
      </c>
      <c r="D55">
        <f>$B55+-2.0</f>
        <v/>
      </c>
      <c r="E55">
        <f>$B55+1.4599</f>
        <v/>
      </c>
      <c r="F55">
        <f>$B55+-0.9388</f>
        <v/>
      </c>
      <c r="G55">
        <f>$B55+0.0941</f>
        <v/>
      </c>
      <c r="H55">
        <f>$B55+-0.0941</f>
        <v/>
      </c>
    </row>
    <row r="56">
      <c r="A56" t="n">
        <v>13.75</v>
      </c>
      <c r="B56">
        <f>Courbe!B56</f>
        <v/>
      </c>
      <c r="C56">
        <f>$B56+2.0</f>
        <v/>
      </c>
      <c r="D56">
        <f>$B56+-2.0</f>
        <v/>
      </c>
      <c r="E56">
        <f>$B56+1.4669</f>
        <v/>
      </c>
      <c r="F56">
        <f>$B56+-0.9455</f>
        <v/>
      </c>
      <c r="G56">
        <f>$B56+0.0884</f>
        <v/>
      </c>
      <c r="H56">
        <f>$B56+-0.0884</f>
        <v/>
      </c>
    </row>
    <row r="57">
      <c r="A57" t="n">
        <v>14</v>
      </c>
      <c r="B57">
        <f>Courbe!B57</f>
        <v/>
      </c>
      <c r="C57">
        <f>$B57+2.0</f>
        <v/>
      </c>
      <c r="D57">
        <f>$B57+-2.0</f>
        <v/>
      </c>
      <c r="E57">
        <f>$B57+1.4735</f>
        <v/>
      </c>
      <c r="F57">
        <f>$B57+-0.9519</f>
        <v/>
      </c>
      <c r="G57">
        <f>$B57+0.083</f>
        <v/>
      </c>
      <c r="H57">
        <f>$B57+-0.083</f>
        <v/>
      </c>
    </row>
    <row r="58">
      <c r="A58" t="n">
        <v>14.25</v>
      </c>
      <c r="B58">
        <f>Courbe!B58</f>
        <v/>
      </c>
      <c r="C58">
        <f>$B58+2.0</f>
        <v/>
      </c>
      <c r="D58">
        <f>$B58+-2.0</f>
        <v/>
      </c>
      <c r="E58">
        <f>$B58+1.4796</f>
        <v/>
      </c>
      <c r="F58">
        <f>$B58+-0.9578</f>
        <v/>
      </c>
      <c r="G58">
        <f>$B58+0.078</f>
        <v/>
      </c>
      <c r="H58">
        <f>$B58+-0.078</f>
        <v/>
      </c>
    </row>
    <row r="59">
      <c r="A59" t="n">
        <v>14.5</v>
      </c>
      <c r="B59">
        <f>Courbe!B59</f>
        <v/>
      </c>
      <c r="C59">
        <f>$B59+2.0</f>
        <v/>
      </c>
      <c r="D59">
        <f>$B59+-2.0</f>
        <v/>
      </c>
      <c r="E59">
        <f>$B59+1.4854</f>
        <v/>
      </c>
      <c r="F59">
        <f>$B59+-0.9634</f>
        <v/>
      </c>
      <c r="G59">
        <f>$B59+0.0733</f>
        <v/>
      </c>
      <c r="H59">
        <f>$B59+-0.0733</f>
        <v/>
      </c>
    </row>
    <row r="60">
      <c r="A60" t="n">
        <v>14.75</v>
      </c>
      <c r="B60">
        <f>Courbe!B60</f>
        <v/>
      </c>
      <c r="C60">
        <f>$B60+2.0</f>
        <v/>
      </c>
      <c r="D60">
        <f>$B60+-2.0</f>
        <v/>
      </c>
      <c r="E60">
        <f>$B60+1.4908</f>
        <v/>
      </c>
      <c r="F60">
        <f>$B60+-0.9686</f>
        <v/>
      </c>
      <c r="G60">
        <f>$B60+0.0688</f>
        <v/>
      </c>
      <c r="H60">
        <f>$B60+-0.0688</f>
        <v/>
      </c>
    </row>
    <row r="61">
      <c r="A61" t="n">
        <v>15</v>
      </c>
      <c r="B61">
        <f>Courbe!B61</f>
        <v/>
      </c>
      <c r="C61">
        <f>$B61+2.0</f>
        <v/>
      </c>
      <c r="D61">
        <f>$B61+-2.0</f>
        <v/>
      </c>
      <c r="E61">
        <f>$B61+1.4959</f>
        <v/>
      </c>
      <c r="F61">
        <f>$B61+-0.9736</f>
        <v/>
      </c>
      <c r="G61">
        <f>$B61+0.0647</f>
        <v/>
      </c>
      <c r="H61">
        <f>$B61+-0.0647</f>
        <v/>
      </c>
    </row>
    <row r="62">
      <c r="A62" t="n">
        <v>15.25</v>
      </c>
      <c r="B62">
        <f>Courbe!B62</f>
        <v/>
      </c>
      <c r="C62">
        <f>$B62+2.0</f>
        <v/>
      </c>
      <c r="D62">
        <f>$B62+-2.0</f>
        <v/>
      </c>
      <c r="E62">
        <f>$B62+1.5007</f>
        <v/>
      </c>
      <c r="F62">
        <f>$B62+-0.9782</f>
        <v/>
      </c>
      <c r="G62">
        <f>$B62+0.0608</f>
        <v/>
      </c>
      <c r="H62">
        <f>$B62+-0.0608</f>
        <v/>
      </c>
    </row>
    <row r="63">
      <c r="A63" t="n">
        <v>15.5</v>
      </c>
      <c r="B63">
        <f>Courbe!B63</f>
        <v/>
      </c>
      <c r="C63">
        <f>$B63+2.0</f>
        <v/>
      </c>
      <c r="D63">
        <f>$B63+-2.0</f>
        <v/>
      </c>
      <c r="E63">
        <f>$B63+1.5052</f>
        <v/>
      </c>
      <c r="F63">
        <f>$B63+-0.9825</f>
        <v/>
      </c>
      <c r="G63">
        <f>$B63+0.0571</f>
        <v/>
      </c>
      <c r="H63">
        <f>$B63+-0.0571</f>
        <v/>
      </c>
    </row>
    <row r="64">
      <c r="A64" t="n">
        <v>15.75</v>
      </c>
      <c r="B64">
        <f>Courbe!B64</f>
        <v/>
      </c>
      <c r="C64">
        <f>$B64+2.0</f>
        <v/>
      </c>
      <c r="D64">
        <f>$B64+-2.0</f>
        <v/>
      </c>
      <c r="E64">
        <f>$B64+1.5094</f>
        <v/>
      </c>
      <c r="F64">
        <f>$B64+-0.9866</f>
        <v/>
      </c>
      <c r="G64">
        <f>$B64+0.0536</f>
        <v/>
      </c>
      <c r="H64">
        <f>$B64+-0.0536</f>
        <v/>
      </c>
    </row>
    <row r="65">
      <c r="A65" t="n">
        <v>16</v>
      </c>
      <c r="B65">
        <f>Courbe!B65</f>
        <v/>
      </c>
      <c r="C65">
        <f>$B65+2.0</f>
        <v/>
      </c>
      <c r="D65">
        <f>$B65+-2.0</f>
        <v/>
      </c>
      <c r="E65">
        <f>$B65+1.5134</f>
        <v/>
      </c>
      <c r="F65">
        <f>$B65+-0.9905</f>
        <v/>
      </c>
      <c r="G65">
        <f>$B65+0.0504</f>
        <v/>
      </c>
      <c r="H65">
        <f>$B65+-0.0504</f>
        <v/>
      </c>
    </row>
    <row r="66">
      <c r="A66" t="n">
        <v>16.25</v>
      </c>
      <c r="B66">
        <f>Courbe!B66</f>
        <v/>
      </c>
      <c r="C66">
        <f>$B66+2.0</f>
        <v/>
      </c>
      <c r="D66">
        <f>$B66+-2.0</f>
        <v/>
      </c>
      <c r="E66">
        <f>$B66+1.5171</f>
        <v/>
      </c>
      <c r="F66">
        <f>$B66+-0.9941</f>
        <v/>
      </c>
      <c r="G66">
        <f>$B66+0.0473</f>
        <v/>
      </c>
      <c r="H66">
        <f>$B66+-0.0473</f>
        <v/>
      </c>
    </row>
    <row r="67">
      <c r="A67" t="n">
        <v>16.5</v>
      </c>
      <c r="B67">
        <f>Courbe!B67</f>
        <v/>
      </c>
      <c r="C67">
        <f>$B67+2.0</f>
        <v/>
      </c>
      <c r="D67">
        <f>$B67+-2.0</f>
        <v/>
      </c>
      <c r="E67">
        <f>$B67+1.5207</f>
        <v/>
      </c>
      <c r="F67">
        <f>$B67+-0.9975</f>
        <v/>
      </c>
      <c r="G67">
        <f>$B67+0.0444</f>
        <v/>
      </c>
      <c r="H67">
        <f>$B67+-0.0444</f>
        <v/>
      </c>
    </row>
    <row r="68">
      <c r="A68" t="n">
        <v>16.75</v>
      </c>
      <c r="B68">
        <f>Courbe!B68</f>
        <v/>
      </c>
      <c r="C68">
        <f>$B68+2.0</f>
        <v/>
      </c>
      <c r="D68">
        <f>$B68+-2.0</f>
        <v/>
      </c>
      <c r="E68">
        <f>$B68+1.5239</f>
        <v/>
      </c>
      <c r="F68">
        <f>$B68+-1.0007</f>
        <v/>
      </c>
      <c r="G68">
        <f>$B68+0.0418</f>
        <v/>
      </c>
      <c r="H68">
        <f>$B68+-0.0418</f>
        <v/>
      </c>
    </row>
    <row r="69">
      <c r="A69" t="n">
        <v>17</v>
      </c>
      <c r="B69">
        <f>Courbe!B69</f>
        <v/>
      </c>
      <c r="C69">
        <f>$B69+2.0</f>
        <v/>
      </c>
      <c r="D69">
        <f>$B69+-2.0</f>
        <v/>
      </c>
      <c r="E69">
        <f>$B69+1.527</f>
        <v/>
      </c>
      <c r="F69">
        <f>$B69+-1.0036</f>
        <v/>
      </c>
      <c r="G69">
        <f>$B69+0.0392</f>
        <v/>
      </c>
      <c r="H69">
        <f>$B69+-0.0392</f>
        <v/>
      </c>
    </row>
    <row r="70">
      <c r="A70" t="n">
        <v>17.25</v>
      </c>
      <c r="B70">
        <f>Courbe!B70</f>
        <v/>
      </c>
      <c r="C70">
        <f>$B70+2.0</f>
        <v/>
      </c>
      <c r="D70">
        <f>$B70+-2.0</f>
        <v/>
      </c>
      <c r="E70">
        <f>$B70+1.5299</f>
        <v/>
      </c>
      <c r="F70">
        <f>$B70+-1.0064</f>
        <v/>
      </c>
      <c r="G70">
        <f>$B70+0.0369</f>
        <v/>
      </c>
      <c r="H70">
        <f>$B70+-0.0369</f>
        <v/>
      </c>
    </row>
    <row r="71">
      <c r="A71" t="n">
        <v>17.5</v>
      </c>
      <c r="B71">
        <f>Courbe!B71</f>
        <v/>
      </c>
      <c r="C71">
        <f>$B71+2.0</f>
        <v/>
      </c>
      <c r="D71">
        <f>$B71+-2.0</f>
        <v/>
      </c>
      <c r="E71">
        <f>$B71+1.5327</f>
        <v/>
      </c>
      <c r="F71">
        <f>$B71+-1.0091</f>
        <v/>
      </c>
      <c r="G71">
        <f>$B71+0.0346</f>
        <v/>
      </c>
      <c r="H71">
        <f>$B71+-0.0346</f>
        <v/>
      </c>
    </row>
    <row r="72">
      <c r="A72" t="n">
        <v>17.75</v>
      </c>
      <c r="B72">
        <f>Courbe!B72</f>
        <v/>
      </c>
      <c r="C72">
        <f>$B72+2.0</f>
        <v/>
      </c>
      <c r="D72">
        <f>$B72+-2.0</f>
        <v/>
      </c>
      <c r="E72">
        <f>$B72+1.5352</f>
        <v/>
      </c>
      <c r="F72">
        <f>$B72+-1.0116</f>
        <v/>
      </c>
      <c r="G72">
        <f>$B72+0.0325</f>
        <v/>
      </c>
      <c r="H72">
        <f>$B72+-0.0325</f>
        <v/>
      </c>
    </row>
    <row r="73">
      <c r="A73" t="n">
        <v>18</v>
      </c>
      <c r="B73">
        <f>Courbe!B73</f>
        <v/>
      </c>
      <c r="C73">
        <f>$B73+2.0</f>
        <v/>
      </c>
      <c r="D73">
        <f>$B73+-2.0</f>
        <v/>
      </c>
      <c r="E73">
        <f>$B73+1.5376</f>
        <v/>
      </c>
      <c r="F73">
        <f>$B73+-1.0139</f>
        <v/>
      </c>
      <c r="G73">
        <f>$B73+0.0305</f>
        <v/>
      </c>
      <c r="H73">
        <f>$B73+-0.0305</f>
        <v/>
      </c>
    </row>
    <row r="74">
      <c r="A74" t="n">
        <v>18.25</v>
      </c>
      <c r="B74">
        <f>Courbe!B74</f>
        <v/>
      </c>
      <c r="C74">
        <f>$B74+2.0</f>
        <v/>
      </c>
      <c r="D74">
        <f>$B74+-2.0</f>
        <v/>
      </c>
      <c r="E74">
        <f>$B74+1.5399</f>
        <v/>
      </c>
      <c r="F74">
        <f>$B74+-1.0161</f>
        <v/>
      </c>
      <c r="G74">
        <f>$B74+0.0287</f>
        <v/>
      </c>
      <c r="H74">
        <f>$B74+-0.0287</f>
        <v/>
      </c>
    </row>
    <row r="75">
      <c r="A75" t="n">
        <v>18.5</v>
      </c>
      <c r="B75">
        <f>Courbe!B75</f>
        <v/>
      </c>
      <c r="C75">
        <f>$B75+2.0</f>
        <v/>
      </c>
      <c r="D75">
        <f>$B75+-2.0</f>
        <v/>
      </c>
      <c r="E75">
        <f>$B75+1.542</f>
        <v/>
      </c>
      <c r="F75">
        <f>$B75+-1.0181</f>
        <v/>
      </c>
      <c r="G75">
        <f>$B75+0.027</f>
        <v/>
      </c>
      <c r="H75">
        <f>$B75+-0.027</f>
        <v/>
      </c>
    </row>
    <row r="76">
      <c r="A76" t="n">
        <v>18.75</v>
      </c>
      <c r="B76">
        <f>Courbe!B76</f>
        <v/>
      </c>
      <c r="C76">
        <f>$B76+2.0</f>
        <v/>
      </c>
      <c r="D76">
        <f>$B76+-2.0</f>
        <v/>
      </c>
      <c r="E76">
        <f>$B76+1.544</f>
        <v/>
      </c>
      <c r="F76">
        <f>$B76+-1.0201</f>
        <v/>
      </c>
      <c r="G76">
        <f>$B76+0.0253</f>
        <v/>
      </c>
      <c r="H76">
        <f>$B76+-0.0253</f>
        <v/>
      </c>
    </row>
    <row r="77">
      <c r="A77" t="n">
        <v>19</v>
      </c>
      <c r="B77">
        <f>Courbe!B77</f>
        <v/>
      </c>
      <c r="C77">
        <f>$B77+2.0</f>
        <v/>
      </c>
      <c r="D77">
        <f>$B77+-2.0</f>
        <v/>
      </c>
      <c r="E77">
        <f>$B77+1.5459</f>
        <v/>
      </c>
      <c r="F77">
        <f>$B77+-1.0219</f>
        <v/>
      </c>
      <c r="G77">
        <f>$B77+0.0238</f>
        <v/>
      </c>
      <c r="H77">
        <f>$B77+-0.0238</f>
        <v/>
      </c>
    </row>
    <row r="78">
      <c r="A78" t="n">
        <v>19.25</v>
      </c>
      <c r="B78">
        <f>Courbe!B78</f>
        <v/>
      </c>
      <c r="C78">
        <f>$B78+2.0</f>
        <v/>
      </c>
      <c r="D78">
        <f>$B78+-2.0</f>
        <v/>
      </c>
      <c r="E78">
        <f>$B78+1.5477</f>
        <v/>
      </c>
      <c r="F78">
        <f>$B78+-1.0236</f>
        <v/>
      </c>
      <c r="G78">
        <f>$B78+0.0224</f>
        <v/>
      </c>
      <c r="H78">
        <f>$B78+-0.0224</f>
        <v/>
      </c>
    </row>
    <row r="79">
      <c r="A79" t="n">
        <v>19.5</v>
      </c>
      <c r="B79">
        <f>Courbe!B79</f>
        <v/>
      </c>
      <c r="C79">
        <f>$B79+2.0</f>
        <v/>
      </c>
      <c r="D79">
        <f>$B79+-2.0</f>
        <v/>
      </c>
      <c r="E79">
        <f>$B79+1.5493</f>
        <v/>
      </c>
      <c r="F79">
        <f>$B79+-1.0252</f>
        <v/>
      </c>
      <c r="G79">
        <f>$B79+0.021</f>
        <v/>
      </c>
      <c r="H79">
        <f>$B79+-0.021</f>
        <v/>
      </c>
    </row>
    <row r="80">
      <c r="A80" t="n">
        <v>19.75</v>
      </c>
      <c r="B80">
        <f>Courbe!B80</f>
        <v/>
      </c>
      <c r="C80">
        <f>$B80+2.0</f>
        <v/>
      </c>
      <c r="D80">
        <f>$B80+-2.0</f>
        <v/>
      </c>
      <c r="E80">
        <f>$B80+1.5509</f>
        <v/>
      </c>
      <c r="F80">
        <f>$B80+-1.0267</f>
        <v/>
      </c>
      <c r="G80">
        <f>$B80+0.0197</f>
        <v/>
      </c>
      <c r="H80">
        <f>$B80+-0.0197</f>
        <v/>
      </c>
    </row>
    <row r="81">
      <c r="A81" t="n">
        <v>20</v>
      </c>
      <c r="B81">
        <f>Courbe!B81</f>
        <v/>
      </c>
      <c r="C81">
        <f>$B81+2.0</f>
        <v/>
      </c>
      <c r="D81">
        <f>$B81+-2.0</f>
        <v/>
      </c>
      <c r="E81">
        <f>$B81+1.5523</f>
        <v/>
      </c>
      <c r="F81">
        <f>$B81+-1.0281</f>
        <v/>
      </c>
      <c r="G81">
        <f>$B81+0.0185</f>
        <v/>
      </c>
      <c r="H81">
        <f>$B81+-0.0185</f>
        <v/>
      </c>
    </row>
    <row r="82">
      <c r="A82" t="n">
        <v>20.25</v>
      </c>
      <c r="B82">
        <f>Courbe!B82</f>
        <v/>
      </c>
      <c r="C82">
        <f>$B82+2.0</f>
        <v/>
      </c>
      <c r="D82">
        <f>$B82+-2.0</f>
        <v/>
      </c>
      <c r="E82">
        <f>$B82+1.5537</f>
        <v/>
      </c>
      <c r="F82">
        <f>$B82+-1.0294</f>
        <v/>
      </c>
      <c r="G82">
        <f>$B82+0.0174</f>
        <v/>
      </c>
      <c r="H82">
        <f>$B82+-0.0174</f>
        <v/>
      </c>
    </row>
    <row r="83">
      <c r="A83" t="n">
        <v>20.5</v>
      </c>
      <c r="B83">
        <f>Courbe!B83</f>
        <v/>
      </c>
      <c r="C83">
        <f>$B83+2.0</f>
        <v/>
      </c>
      <c r="D83">
        <f>$B83+-2.0</f>
        <v/>
      </c>
      <c r="E83">
        <f>$B83+1.555</f>
        <v/>
      </c>
      <c r="F83">
        <f>$B83+-1.0307</f>
        <v/>
      </c>
      <c r="G83">
        <f>$B83+0.0164</f>
        <v/>
      </c>
      <c r="H83">
        <f>$B83+-0.0164</f>
        <v/>
      </c>
    </row>
    <row r="84">
      <c r="A84" t="n">
        <v>20.75</v>
      </c>
      <c r="B84">
        <f>Courbe!B84</f>
        <v/>
      </c>
      <c r="C84">
        <f>$B84+2.0</f>
        <v/>
      </c>
      <c r="D84">
        <f>$B84+-2.0</f>
        <v/>
      </c>
      <c r="E84">
        <f>$B84+1.5562</f>
        <v/>
      </c>
      <c r="F84">
        <f>$B84+-1.0318</f>
        <v/>
      </c>
      <c r="G84">
        <f>$B84+0.0154</f>
        <v/>
      </c>
      <c r="H84">
        <f>$B84+-0.0154</f>
        <v/>
      </c>
    </row>
    <row r="85">
      <c r="A85" t="n">
        <v>21</v>
      </c>
      <c r="B85">
        <f>Courbe!B85</f>
        <v/>
      </c>
      <c r="C85">
        <f>$B85+2.0</f>
        <v/>
      </c>
      <c r="D85">
        <f>$B85+-2.0</f>
        <v/>
      </c>
      <c r="E85">
        <f>$B85+1.5574</f>
        <v/>
      </c>
      <c r="F85">
        <f>$B85+-1.0329</f>
        <v/>
      </c>
      <c r="G85">
        <f>$B85+0.0144</f>
        <v/>
      </c>
      <c r="H85">
        <f>$B85+-0.0144</f>
        <v/>
      </c>
    </row>
    <row r="86">
      <c r="A86" t="n">
        <v>21.25</v>
      </c>
      <c r="B86">
        <f>Courbe!B86</f>
        <v/>
      </c>
      <c r="C86">
        <f>$B86+2.0</f>
        <v/>
      </c>
      <c r="D86">
        <f>$B86+-2.0</f>
        <v/>
      </c>
      <c r="E86">
        <f>$B86+1.5584</f>
        <v/>
      </c>
      <c r="F86">
        <f>$B86+-1.034</f>
        <v/>
      </c>
      <c r="G86">
        <f>$B86+0.0136</f>
        <v/>
      </c>
      <c r="H86">
        <f>$B86+-0.0136</f>
        <v/>
      </c>
    </row>
    <row r="87">
      <c r="A87" t="n">
        <v>21.5</v>
      </c>
      <c r="B87">
        <f>Courbe!B87</f>
        <v/>
      </c>
      <c r="C87">
        <f>$B87+2.0</f>
        <v/>
      </c>
      <c r="D87">
        <f>$B87+-2.0</f>
        <v/>
      </c>
      <c r="E87">
        <f>$B87+1.5594</f>
        <v/>
      </c>
      <c r="F87">
        <f>$B87+-1.0349</f>
        <v/>
      </c>
      <c r="G87">
        <f>$B87+0.0127</f>
        <v/>
      </c>
      <c r="H87">
        <f>$B87+-0.0127</f>
        <v/>
      </c>
    </row>
    <row r="88">
      <c r="A88" t="n">
        <v>21.75</v>
      </c>
      <c r="B88">
        <f>Courbe!B88</f>
        <v/>
      </c>
      <c r="C88">
        <f>$B88+2.0</f>
        <v/>
      </c>
      <c r="D88">
        <f>$B88+-2.0</f>
        <v/>
      </c>
      <c r="E88">
        <f>$B88+1.5604</f>
        <v/>
      </c>
      <c r="F88">
        <f>$B88+-1.0359</f>
        <v/>
      </c>
      <c r="G88">
        <f>$B88+0.012</f>
        <v/>
      </c>
      <c r="H88">
        <f>$B88+-0.012</f>
        <v/>
      </c>
    </row>
    <row r="89">
      <c r="A89" t="n">
        <v>22</v>
      </c>
      <c r="B89">
        <f>Courbe!B89</f>
        <v/>
      </c>
      <c r="C89">
        <f>$B89+2.0</f>
        <v/>
      </c>
      <c r="D89">
        <f>$B89+-2.0</f>
        <v/>
      </c>
      <c r="E89">
        <f>$B89+1.5613</f>
        <v/>
      </c>
      <c r="F89">
        <f>$B89+-1.0367</f>
        <v/>
      </c>
      <c r="G89">
        <f>$B89+0.0112</f>
        <v/>
      </c>
      <c r="H89">
        <f>$B89+-0.0112</f>
        <v/>
      </c>
    </row>
    <row r="90">
      <c r="A90" t="n">
        <v>22.25</v>
      </c>
      <c r="B90">
        <f>Courbe!B90</f>
        <v/>
      </c>
      <c r="C90">
        <f>$B90+2.0</f>
        <v/>
      </c>
      <c r="D90">
        <f>$B90+-2.0</f>
        <v/>
      </c>
      <c r="E90">
        <f>$B90+1.5621</f>
        <v/>
      </c>
      <c r="F90">
        <f>$B90+-1.0375</f>
        <v/>
      </c>
      <c r="G90">
        <f>$B90+0.0106</f>
        <v/>
      </c>
      <c r="H90">
        <f>$B90+-0.0106</f>
        <v/>
      </c>
    </row>
    <row r="91">
      <c r="A91" t="n">
        <v>22.5</v>
      </c>
      <c r="B91">
        <f>Courbe!B91</f>
        <v/>
      </c>
      <c r="C91">
        <f>$B91+2.0</f>
        <v/>
      </c>
      <c r="D91">
        <f>$B91+-2.0</f>
        <v/>
      </c>
      <c r="E91">
        <f>$B91+1.5629</f>
        <v/>
      </c>
      <c r="F91">
        <f>$B91+-1.0383</f>
        <v/>
      </c>
      <c r="G91">
        <f>$B91+0.0099</f>
        <v/>
      </c>
      <c r="H91">
        <f>$B91+-0.0099</f>
        <v/>
      </c>
    </row>
    <row r="92">
      <c r="A92" t="n">
        <v>22.75</v>
      </c>
      <c r="B92">
        <f>Courbe!B92</f>
        <v/>
      </c>
      <c r="C92">
        <f>$B92+2.0</f>
        <v/>
      </c>
      <c r="D92">
        <f>$B92+-2.0</f>
        <v/>
      </c>
      <c r="E92">
        <f>$B92+1.5636</f>
        <v/>
      </c>
      <c r="F92">
        <f>$B92+-1.039</f>
        <v/>
      </c>
      <c r="G92">
        <f>$B92+0.0093</f>
        <v/>
      </c>
      <c r="H92">
        <f>$B92+-0.0093</f>
        <v/>
      </c>
    </row>
    <row r="93">
      <c r="A93" t="n">
        <v>23</v>
      </c>
      <c r="B93">
        <f>Courbe!B93</f>
        <v/>
      </c>
      <c r="C93">
        <f>$B93+2.0</f>
        <v/>
      </c>
      <c r="D93">
        <f>$B93+-2.0</f>
        <v/>
      </c>
      <c r="E93">
        <f>$B93+1.5643</f>
        <v/>
      </c>
      <c r="F93">
        <f>$B93+-1.0397</f>
        <v/>
      </c>
      <c r="G93">
        <f>$B93+0.0088</f>
        <v/>
      </c>
      <c r="H93">
        <f>$B93+-0.0088</f>
        <v/>
      </c>
    </row>
    <row r="94">
      <c r="A94" t="n">
        <v>23.25</v>
      </c>
      <c r="B94">
        <f>Courbe!B94</f>
        <v/>
      </c>
      <c r="C94">
        <f>$B94+2.0</f>
        <v/>
      </c>
      <c r="D94">
        <f>$B94+-2.0</f>
        <v/>
      </c>
      <c r="E94">
        <f>$B94+1.5649</f>
        <v/>
      </c>
      <c r="F94">
        <f>$B94+-1.0403</f>
        <v/>
      </c>
      <c r="G94">
        <f>$B94+0.0082</f>
        <v/>
      </c>
      <c r="H94">
        <f>$B94+-0.0082</f>
        <v/>
      </c>
    </row>
    <row r="95">
      <c r="A95" t="n">
        <v>23.5</v>
      </c>
      <c r="B95">
        <f>Courbe!B95</f>
        <v/>
      </c>
      <c r="C95">
        <f>$B95+2.0</f>
        <v/>
      </c>
      <c r="D95">
        <f>$B95+-2.0</f>
        <v/>
      </c>
      <c r="E95">
        <f>$B95+1.5656</f>
        <v/>
      </c>
      <c r="F95">
        <f>$B95+-1.0409</f>
        <v/>
      </c>
      <c r="G95">
        <f>$B95+0.0077</f>
        <v/>
      </c>
      <c r="H95">
        <f>$B95+-0.0077</f>
        <v/>
      </c>
    </row>
    <row r="96">
      <c r="A96" t="n">
        <v>23.75</v>
      </c>
      <c r="B96">
        <f>Courbe!B96</f>
        <v/>
      </c>
      <c r="C96">
        <f>$B96+2.0</f>
        <v/>
      </c>
      <c r="D96">
        <f>$B96+-2.0</f>
        <v/>
      </c>
      <c r="E96">
        <f>$B96+1.5661</f>
        <v/>
      </c>
      <c r="F96">
        <f>$B96+-1.0414</f>
        <v/>
      </c>
      <c r="G96">
        <f>$B96+0.0073</f>
        <v/>
      </c>
      <c r="H96">
        <f>$B96+-0.0073</f>
        <v/>
      </c>
    </row>
    <row r="97">
      <c r="A97" t="n">
        <v>24</v>
      </c>
      <c r="B97">
        <f>Courbe!B97</f>
        <v/>
      </c>
      <c r="C97">
        <f>$B97+2.0</f>
        <v/>
      </c>
      <c r="D97">
        <f>$B97+-2.0</f>
        <v/>
      </c>
      <c r="E97">
        <f>$B97+1.5667</f>
        <v/>
      </c>
      <c r="F97">
        <f>$B97+-1.0419</f>
        <v/>
      </c>
      <c r="G97">
        <f>$B97+0.0068</f>
        <v/>
      </c>
      <c r="H97">
        <f>$B97+-0.0068</f>
        <v/>
      </c>
    </row>
    <row r="98">
      <c r="A98" t="n">
        <v>24.25</v>
      </c>
      <c r="B98">
        <f>Courbe!B98</f>
        <v/>
      </c>
      <c r="C98">
        <f>$B98+2.0</f>
        <v/>
      </c>
      <c r="D98">
        <f>$B98+-2.0</f>
        <v/>
      </c>
      <c r="E98">
        <f>$B98+1.5672</f>
        <v/>
      </c>
      <c r="F98">
        <f>$B98+-1.0424</f>
        <v/>
      </c>
      <c r="G98">
        <f>$B98+0.0064</f>
        <v/>
      </c>
      <c r="H98">
        <f>$B98+-0.0064</f>
        <v/>
      </c>
    </row>
    <row r="99">
      <c r="A99" t="n">
        <v>24.5</v>
      </c>
      <c r="B99">
        <f>Courbe!B99</f>
        <v/>
      </c>
      <c r="C99">
        <f>$B99+2.0</f>
        <v/>
      </c>
      <c r="D99">
        <f>$B99+-2.0</f>
        <v/>
      </c>
      <c r="E99">
        <f>$B99+1.5676</f>
        <v/>
      </c>
      <c r="F99">
        <f>$B99+-1.0429</f>
        <v/>
      </c>
      <c r="G99">
        <f>$B99+0.006</f>
        <v/>
      </c>
      <c r="H99">
        <f>$B99+-0.006</f>
        <v/>
      </c>
    </row>
    <row r="100">
      <c r="A100" t="n">
        <v>24.75</v>
      </c>
      <c r="B100">
        <f>Courbe!B100</f>
        <v/>
      </c>
      <c r="C100">
        <f>$B100+2.0</f>
        <v/>
      </c>
      <c r="D100">
        <f>$B100+-2.0</f>
        <v/>
      </c>
      <c r="E100">
        <f>$B100+1.5681</f>
        <v/>
      </c>
      <c r="F100">
        <f>$B100+-1.0433</f>
        <v/>
      </c>
      <c r="G100">
        <f>$B100+0.0057</f>
        <v/>
      </c>
      <c r="H100">
        <f>$B100+-0.0057</f>
        <v/>
      </c>
    </row>
    <row r="101">
      <c r="A101" t="n">
        <v>25</v>
      </c>
      <c r="B101">
        <f>Courbe!B101</f>
        <v/>
      </c>
      <c r="C101">
        <f>$B101+2.0</f>
        <v/>
      </c>
      <c r="D101">
        <f>$B101+-2.0</f>
        <v/>
      </c>
      <c r="E101">
        <f>$B101+1.5685</f>
        <v/>
      </c>
      <c r="F101">
        <f>$B101+-1.0437</f>
        <v/>
      </c>
      <c r="G101">
        <f>$B101+0.0053</f>
        <v/>
      </c>
      <c r="H101">
        <f>$B101+-0.0053</f>
        <v/>
      </c>
    </row>
    <row r="102">
      <c r="A102" t="n">
        <v>25.25</v>
      </c>
      <c r="B102">
        <f>Courbe!B102</f>
        <v/>
      </c>
      <c r="C102">
        <f>$B102+2.0</f>
        <v/>
      </c>
      <c r="D102">
        <f>$B102+-2.0</f>
        <v/>
      </c>
      <c r="E102">
        <f>$B102+1.5689</f>
        <v/>
      </c>
      <c r="F102">
        <f>$B102+-1.0441</f>
        <v/>
      </c>
      <c r="G102">
        <f>$B102+0.005</f>
        <v/>
      </c>
      <c r="H102">
        <f>$B102+-0.005</f>
        <v/>
      </c>
    </row>
    <row r="103">
      <c r="A103" t="n">
        <v>25.5</v>
      </c>
      <c r="B103">
        <f>Courbe!B103</f>
        <v/>
      </c>
      <c r="C103">
        <f>$B103+2.0</f>
        <v/>
      </c>
      <c r="D103">
        <f>$B103+-2.0</f>
        <v/>
      </c>
      <c r="E103">
        <f>$B103+1.5693</f>
        <v/>
      </c>
      <c r="F103">
        <f>$B103+-1.0445</f>
        <v/>
      </c>
      <c r="G103">
        <f>$B103+0.0047</f>
        <v/>
      </c>
      <c r="H103">
        <f>$B103+-0.0047</f>
        <v/>
      </c>
    </row>
    <row r="104">
      <c r="A104" t="n">
        <v>25.75</v>
      </c>
      <c r="B104">
        <f>Courbe!B104</f>
        <v/>
      </c>
      <c r="C104">
        <f>$B104+2.0</f>
        <v/>
      </c>
      <c r="D104">
        <f>$B104+-2.0</f>
        <v/>
      </c>
      <c r="E104">
        <f>$B104+1.5696</f>
        <v/>
      </c>
      <c r="F104">
        <f>$B104+-1.0448</f>
        <v/>
      </c>
      <c r="G104">
        <f>$B104+0.0044</f>
        <v/>
      </c>
      <c r="H104">
        <f>$B104+-0.0044</f>
        <v/>
      </c>
    </row>
    <row r="105">
      <c r="A105" t="n">
        <v>26</v>
      </c>
      <c r="B105">
        <f>Courbe!B105</f>
        <v/>
      </c>
      <c r="C105">
        <f>$B105+2.0</f>
        <v/>
      </c>
      <c r="D105">
        <f>$B105+-2.0</f>
        <v/>
      </c>
      <c r="E105">
        <f>$B105+1.5699</f>
        <v/>
      </c>
      <c r="F105">
        <f>$B105+-1.0451</f>
        <v/>
      </c>
      <c r="G105">
        <f>$B105+0.0041</f>
        <v/>
      </c>
      <c r="H105">
        <f>$B105+-0.0041</f>
        <v/>
      </c>
    </row>
    <row r="106">
      <c r="A106" t="n">
        <v>26.25</v>
      </c>
      <c r="B106">
        <f>Courbe!B106</f>
        <v/>
      </c>
      <c r="C106">
        <f>$B106+2.0</f>
        <v/>
      </c>
      <c r="D106">
        <f>$B106+-2.0</f>
        <v/>
      </c>
      <c r="E106">
        <f>$B106+1.5703</f>
        <v/>
      </c>
      <c r="F106">
        <f>$B106+-1.0454</f>
        <v/>
      </c>
      <c r="G106">
        <f>$B106+0.0039</f>
        <v/>
      </c>
      <c r="H106">
        <f>$B106+-0.0039</f>
        <v/>
      </c>
    </row>
    <row r="107">
      <c r="A107" t="n">
        <v>26.5</v>
      </c>
      <c r="B107">
        <f>Courbe!B107</f>
        <v/>
      </c>
      <c r="C107">
        <f>$B107+2.0</f>
        <v/>
      </c>
      <c r="D107">
        <f>$B107+-2.0</f>
        <v/>
      </c>
      <c r="E107">
        <f>$B107+1.5705</f>
        <v/>
      </c>
      <c r="F107">
        <f>$B107+-1.0457</f>
        <v/>
      </c>
      <c r="G107">
        <f>$B107+0.0036</f>
        <v/>
      </c>
      <c r="H107">
        <f>$B107+-0.0036</f>
        <v/>
      </c>
    </row>
    <row r="108">
      <c r="A108" t="n">
        <v>26.75</v>
      </c>
      <c r="B108">
        <f>Courbe!B108</f>
        <v/>
      </c>
      <c r="C108">
        <f>$B108+2.0</f>
        <v/>
      </c>
      <c r="D108">
        <f>$B108+-2.0</f>
        <v/>
      </c>
      <c r="E108">
        <f>$B108+1.5708</f>
        <v/>
      </c>
      <c r="F108">
        <f>$B108+-1.0459</f>
        <v/>
      </c>
      <c r="G108">
        <f>$B108+0.0034</f>
        <v/>
      </c>
      <c r="H108">
        <f>$B108+-0.0034</f>
        <v/>
      </c>
    </row>
    <row r="109">
      <c r="A109" t="n">
        <v>27</v>
      </c>
      <c r="B109">
        <f>Courbe!B109</f>
        <v/>
      </c>
      <c r="C109">
        <f>$B109+2.0</f>
        <v/>
      </c>
      <c r="D109">
        <f>$B109+-2.0</f>
        <v/>
      </c>
      <c r="E109">
        <f>$B109+1.5711</f>
        <v/>
      </c>
      <c r="F109">
        <f>$B109+-1.0462</f>
        <v/>
      </c>
      <c r="G109">
        <f>$B109+0.0032</f>
        <v/>
      </c>
      <c r="H109">
        <f>$B109+-0.0032</f>
        <v/>
      </c>
    </row>
    <row r="110">
      <c r="A110" t="n">
        <v>27.25</v>
      </c>
      <c r="B110">
        <f>Courbe!B110</f>
        <v/>
      </c>
      <c r="C110">
        <f>$B110+2.0</f>
        <v/>
      </c>
      <c r="D110">
        <f>$B110+-2.0</f>
        <v/>
      </c>
      <c r="E110">
        <f>$B110+1.5713</f>
        <v/>
      </c>
      <c r="F110">
        <f>$B110+-1.0464</f>
        <v/>
      </c>
      <c r="G110">
        <f>$B110+0.003</f>
        <v/>
      </c>
      <c r="H110">
        <f>$B110+-0.003</f>
        <v/>
      </c>
    </row>
    <row r="111">
      <c r="A111" t="n">
        <v>27.5</v>
      </c>
      <c r="B111">
        <f>Courbe!B111</f>
        <v/>
      </c>
      <c r="C111">
        <f>$B111+2.0</f>
        <v/>
      </c>
      <c r="D111">
        <f>$B111+-2.0</f>
        <v/>
      </c>
      <c r="E111">
        <f>$B111+1.5715</f>
        <v/>
      </c>
      <c r="F111">
        <f>$B111+-1.0466</f>
        <v/>
      </c>
      <c r="G111">
        <f>$B111+0.0028</f>
        <v/>
      </c>
      <c r="H111">
        <f>$B111+-0.0028</f>
        <v/>
      </c>
    </row>
    <row r="112">
      <c r="A112" t="n">
        <v>27.75</v>
      </c>
      <c r="B112">
        <f>Courbe!B112</f>
        <v/>
      </c>
      <c r="C112">
        <f>$B112+2.0</f>
        <v/>
      </c>
      <c r="D112">
        <f>$B112+-2.0</f>
        <v/>
      </c>
      <c r="E112">
        <f>$B112+1.5717</f>
        <v/>
      </c>
      <c r="F112">
        <f>$B112+-1.0468</f>
        <v/>
      </c>
      <c r="G112">
        <f>$B112+0.0027</f>
        <v/>
      </c>
      <c r="H112">
        <f>$B112+-0.0027</f>
        <v/>
      </c>
    </row>
    <row r="113">
      <c r="A113" t="n">
        <v>28</v>
      </c>
      <c r="B113">
        <f>Courbe!B113</f>
        <v/>
      </c>
      <c r="C113">
        <f>$B113+2.0</f>
        <v/>
      </c>
      <c r="D113">
        <f>$B113+-2.0</f>
        <v/>
      </c>
      <c r="E113">
        <f>$B113+1.5719</f>
        <v/>
      </c>
      <c r="F113">
        <f>$B113+-1.047</f>
        <v/>
      </c>
      <c r="G113">
        <f>$B113+0.0025</f>
        <v/>
      </c>
      <c r="H113">
        <f>$B113+-0.0025</f>
        <v/>
      </c>
    </row>
    <row r="114">
      <c r="A114" t="n">
        <v>28.25</v>
      </c>
      <c r="B114">
        <f>Courbe!B114</f>
        <v/>
      </c>
      <c r="C114">
        <f>$B114+2.0</f>
        <v/>
      </c>
      <c r="D114">
        <f>$B114+-2.0</f>
        <v/>
      </c>
      <c r="E114">
        <f>$B114+1.5721</f>
        <v/>
      </c>
      <c r="F114">
        <f>$B114+-1.0472</f>
        <v/>
      </c>
      <c r="G114">
        <f>$B114+0.0024</f>
        <v/>
      </c>
      <c r="H114">
        <f>$B114+-0.0024</f>
        <v/>
      </c>
    </row>
    <row r="115">
      <c r="A115" t="n">
        <v>28.5</v>
      </c>
      <c r="B115">
        <f>Courbe!B115</f>
        <v/>
      </c>
      <c r="C115">
        <f>$B115+2.0</f>
        <v/>
      </c>
      <c r="D115">
        <f>$B115+-2.0</f>
        <v/>
      </c>
      <c r="E115">
        <f>$B115+1.5723</f>
        <v/>
      </c>
      <c r="F115">
        <f>$B115+-1.0474</f>
        <v/>
      </c>
      <c r="G115">
        <f>$B115+0.0022</f>
        <v/>
      </c>
      <c r="H115">
        <f>$B115+-0.0022</f>
        <v/>
      </c>
    </row>
    <row r="116">
      <c r="A116" t="n">
        <v>28.75</v>
      </c>
      <c r="B116">
        <f>Courbe!B116</f>
        <v/>
      </c>
      <c r="C116">
        <f>$B116+2.0</f>
        <v/>
      </c>
      <c r="D116">
        <f>$B116+-2.0</f>
        <v/>
      </c>
      <c r="E116">
        <f>$B116+1.5725</f>
        <v/>
      </c>
      <c r="F116">
        <f>$B116+-1.0475</f>
        <v/>
      </c>
      <c r="G116">
        <f>$B116+0.0021</f>
        <v/>
      </c>
      <c r="H116">
        <f>$B116+-0.0021</f>
        <v/>
      </c>
    </row>
    <row r="117">
      <c r="A117" t="n">
        <v>29</v>
      </c>
      <c r="B117">
        <f>Courbe!B117</f>
        <v/>
      </c>
      <c r="C117">
        <f>$B117+2.0</f>
        <v/>
      </c>
      <c r="D117">
        <f>$B117+-2.0</f>
        <v/>
      </c>
      <c r="E117">
        <f>$B117+1.5726</f>
        <v/>
      </c>
      <c r="F117">
        <f>$B117+-1.0477</f>
        <v/>
      </c>
      <c r="G117">
        <f>$B117+0.002</f>
        <v/>
      </c>
      <c r="H117">
        <f>$B117+-0.002</f>
        <v/>
      </c>
    </row>
    <row r="118">
      <c r="A118" t="n">
        <v>29.25</v>
      </c>
      <c r="B118">
        <f>Courbe!B118</f>
        <v/>
      </c>
      <c r="C118">
        <f>$B118+2.0</f>
        <v/>
      </c>
      <c r="D118">
        <f>$B118+-2.0</f>
        <v/>
      </c>
      <c r="E118">
        <f>$B118+1.5728</f>
        <v/>
      </c>
      <c r="F118">
        <f>$B118+-1.0478</f>
        <v/>
      </c>
      <c r="G118">
        <f>$B118+0.0018</f>
        <v/>
      </c>
      <c r="H118">
        <f>$B118+-0.0018</f>
        <v/>
      </c>
    </row>
    <row r="119">
      <c r="A119" t="n">
        <v>29.5</v>
      </c>
      <c r="B119">
        <f>Courbe!B119</f>
        <v/>
      </c>
      <c r="C119">
        <f>$B119+2.0</f>
        <v/>
      </c>
      <c r="D119">
        <f>$B119+-2.0</f>
        <v/>
      </c>
      <c r="E119">
        <f>$B119+1.5729</f>
        <v/>
      </c>
      <c r="F119">
        <f>$B119+-1.048</f>
        <v/>
      </c>
      <c r="G119">
        <f>$B119+0.0017</f>
        <v/>
      </c>
      <c r="H119">
        <f>$B119+-0.0017</f>
        <v/>
      </c>
    </row>
    <row r="120">
      <c r="A120" t="n">
        <v>29.75</v>
      </c>
      <c r="B120">
        <f>Courbe!B120</f>
        <v/>
      </c>
      <c r="C120">
        <f>$B120+2.0</f>
        <v/>
      </c>
      <c r="D120">
        <f>$B120+-2.0</f>
        <v/>
      </c>
      <c r="E120">
        <f>$B120+1.573</f>
        <v/>
      </c>
      <c r="F120">
        <f>$B120+-1.0481</f>
        <v/>
      </c>
      <c r="G120">
        <f>$B120+0.0016</f>
        <v/>
      </c>
      <c r="H120">
        <f>$B120+-0.0016</f>
        <v/>
      </c>
    </row>
    <row r="121">
      <c r="A121" t="n">
        <v>30</v>
      </c>
      <c r="B121">
        <f>Courbe!B121</f>
        <v/>
      </c>
      <c r="C121">
        <f>$B121+2.0</f>
        <v/>
      </c>
      <c r="D121">
        <f>$B121+-2.0</f>
        <v/>
      </c>
      <c r="E121">
        <f>$B121+1.5731</f>
        <v/>
      </c>
      <c r="F121">
        <f>$B121+-1.0482</f>
        <v/>
      </c>
      <c r="G121">
        <f>$B121+0.0015</f>
        <v/>
      </c>
      <c r="H121">
        <f>$B121+-0.0015</f>
        <v/>
      </c>
    </row>
    <row r="123">
      <c r="A123" s="1" t="inlineStr">
        <is>
          <t>t (années)</t>
        </is>
      </c>
      <c r="B123" s="1" t="inlineStr">
        <is>
          <t>Flux</t>
        </is>
      </c>
      <c r="C123" s="1" t="inlineStr">
        <is>
          <t>parallele_hausse</t>
        </is>
      </c>
      <c r="D123" s="1" t="inlineStr">
        <is>
          <t>parallele_baisse</t>
        </is>
      </c>
      <c r="E123" s="1" t="inlineStr">
        <is>
          <t>pentification</t>
        </is>
      </c>
      <c r="F123" s="1" t="inlineStr">
        <is>
          <t>aplatissement</t>
        </is>
      </c>
      <c r="G123" s="1" t="inlineStr">
        <is>
          <t>court_hausse</t>
        </is>
      </c>
      <c r="H123" s="1" t="inlineStr">
        <is>
          <t>court_baisse</t>
        </is>
      </c>
    </row>
    <row r="124">
      <c r="A124">
        <f>Obligation!A8</f>
        <v/>
      </c>
      <c r="B124">
        <f>Obligation!B8</f>
        <v/>
      </c>
      <c r="C124">
        <f>IFERROR(VLOOKUP($A124,$A$2:$H$121,3,FALSE),0)</f>
        <v/>
      </c>
      <c r="D124">
        <f>IFERROR(VLOOKUP($A124,$A$2:$H$121,4,FALSE),0)</f>
        <v/>
      </c>
      <c r="E124">
        <f>IFERROR(VLOOKUP($A124,$A$2:$H$121,5,FALSE),0)</f>
        <v/>
      </c>
      <c r="F124">
        <f>IFERROR(VLOOKUP($A124,$A$2:$H$121,6,FALSE),0)</f>
        <v/>
      </c>
      <c r="G124">
        <f>IFERROR(VLOOKUP($A124,$A$2:$H$121,7,FALSE),0)</f>
        <v/>
      </c>
      <c r="H124">
        <f>IFERROR(VLOOKUP($A124,$A$2:$H$121,8,FALSE),0)</f>
        <v/>
      </c>
    </row>
    <row r="125">
      <c r="A125">
        <f>Obligation!A9</f>
        <v/>
      </c>
      <c r="B125">
        <f>Obligation!B9</f>
        <v/>
      </c>
      <c r="C125">
        <f>IFERROR(VLOOKUP($A125,$A$2:$H$121,3,FALSE),0)</f>
        <v/>
      </c>
      <c r="D125">
        <f>IFERROR(VLOOKUP($A125,$A$2:$H$121,4,FALSE),0)</f>
        <v/>
      </c>
      <c r="E125">
        <f>IFERROR(VLOOKUP($A125,$A$2:$H$121,5,FALSE),0)</f>
        <v/>
      </c>
      <c r="F125">
        <f>IFERROR(VLOOKUP($A125,$A$2:$H$121,6,FALSE),0)</f>
        <v/>
      </c>
      <c r="G125">
        <f>IFERROR(VLOOKUP($A125,$A$2:$H$121,7,FALSE),0)</f>
        <v/>
      </c>
      <c r="H125">
        <f>IFERROR(VLOOKUP($A125,$A$2:$H$121,8,FALSE),0)</f>
        <v/>
      </c>
    </row>
    <row r="126">
      <c r="A126">
        <f>Obligation!A10</f>
        <v/>
      </c>
      <c r="B126">
        <f>Obligation!B10</f>
        <v/>
      </c>
      <c r="C126">
        <f>IFERROR(VLOOKUP($A126,$A$2:$H$121,3,FALSE),0)</f>
        <v/>
      </c>
      <c r="D126">
        <f>IFERROR(VLOOKUP($A126,$A$2:$H$121,4,FALSE),0)</f>
        <v/>
      </c>
      <c r="E126">
        <f>IFERROR(VLOOKUP($A126,$A$2:$H$121,5,FALSE),0)</f>
        <v/>
      </c>
      <c r="F126">
        <f>IFERROR(VLOOKUP($A126,$A$2:$H$121,6,FALSE),0)</f>
        <v/>
      </c>
      <c r="G126">
        <f>IFERROR(VLOOKUP($A126,$A$2:$H$121,7,FALSE),0)</f>
        <v/>
      </c>
      <c r="H126">
        <f>IFERROR(VLOOKUP($A126,$A$2:$H$121,8,FALSE),0)</f>
        <v/>
      </c>
    </row>
    <row r="127">
      <c r="A127">
        <f>Obligation!A11</f>
        <v/>
      </c>
      <c r="B127">
        <f>Obligation!B11</f>
        <v/>
      </c>
      <c r="C127">
        <f>IFERROR(VLOOKUP($A127,$A$2:$H$121,3,FALSE),0)</f>
        <v/>
      </c>
      <c r="D127">
        <f>IFERROR(VLOOKUP($A127,$A$2:$H$121,4,FALSE),0)</f>
        <v/>
      </c>
      <c r="E127">
        <f>IFERROR(VLOOKUP($A127,$A$2:$H$121,5,FALSE),0)</f>
        <v/>
      </c>
      <c r="F127">
        <f>IFERROR(VLOOKUP($A127,$A$2:$H$121,6,FALSE),0)</f>
        <v/>
      </c>
      <c r="G127">
        <f>IFERROR(VLOOKUP($A127,$A$2:$H$121,7,FALSE),0)</f>
        <v/>
      </c>
      <c r="H127">
        <f>IFERROR(VLOOKUP($A127,$A$2:$H$121,8,FALSE),0)</f>
        <v/>
      </c>
    </row>
    <row r="128">
      <c r="A128">
        <f>Obligation!A12</f>
        <v/>
      </c>
      <c r="B128">
        <f>Obligation!B12</f>
        <v/>
      </c>
      <c r="C128">
        <f>IFERROR(VLOOKUP($A128,$A$2:$H$121,3,FALSE),0)</f>
        <v/>
      </c>
      <c r="D128">
        <f>IFERROR(VLOOKUP($A128,$A$2:$H$121,4,FALSE),0)</f>
        <v/>
      </c>
      <c r="E128">
        <f>IFERROR(VLOOKUP($A128,$A$2:$H$121,5,FALSE),0)</f>
        <v/>
      </c>
      <c r="F128">
        <f>IFERROR(VLOOKUP($A128,$A$2:$H$121,6,FALSE),0)</f>
        <v/>
      </c>
      <c r="G128">
        <f>IFERROR(VLOOKUP($A128,$A$2:$H$121,7,FALSE),0)</f>
        <v/>
      </c>
      <c r="H128">
        <f>IFERROR(VLOOKUP($A128,$A$2:$H$121,8,FALSE),0)</f>
        <v/>
      </c>
    </row>
    <row r="129">
      <c r="A129">
        <f>Obligation!A13</f>
        <v/>
      </c>
      <c r="B129">
        <f>Obligation!B13</f>
        <v/>
      </c>
      <c r="C129">
        <f>IFERROR(VLOOKUP($A129,$A$2:$H$121,3,FALSE),0)</f>
        <v/>
      </c>
      <c r="D129">
        <f>IFERROR(VLOOKUP($A129,$A$2:$H$121,4,FALSE),0)</f>
        <v/>
      </c>
      <c r="E129">
        <f>IFERROR(VLOOKUP($A129,$A$2:$H$121,5,FALSE),0)</f>
        <v/>
      </c>
      <c r="F129">
        <f>IFERROR(VLOOKUP($A129,$A$2:$H$121,6,FALSE),0)</f>
        <v/>
      </c>
      <c r="G129">
        <f>IFERROR(VLOOKUP($A129,$A$2:$H$121,7,FALSE),0)</f>
        <v/>
      </c>
      <c r="H129">
        <f>IFERROR(VLOOKUP($A129,$A$2:$H$121,8,FALSE),0)</f>
        <v/>
      </c>
    </row>
    <row r="130">
      <c r="A130">
        <f>Obligation!A14</f>
        <v/>
      </c>
      <c r="B130">
        <f>Obligation!B14</f>
        <v/>
      </c>
      <c r="C130">
        <f>IFERROR(VLOOKUP($A130,$A$2:$H$121,3,FALSE),0)</f>
        <v/>
      </c>
      <c r="D130">
        <f>IFERROR(VLOOKUP($A130,$A$2:$H$121,4,FALSE),0)</f>
        <v/>
      </c>
      <c r="E130">
        <f>IFERROR(VLOOKUP($A130,$A$2:$H$121,5,FALSE),0)</f>
        <v/>
      </c>
      <c r="F130">
        <f>IFERROR(VLOOKUP($A130,$A$2:$H$121,6,FALSE),0)</f>
        <v/>
      </c>
      <c r="G130">
        <f>IFERROR(VLOOKUP($A130,$A$2:$H$121,7,FALSE),0)</f>
        <v/>
      </c>
      <c r="H130">
        <f>IFERROR(VLOOKUP($A130,$A$2:$H$121,8,FALSE),0)</f>
        <v/>
      </c>
    </row>
    <row r="131">
      <c r="A131">
        <f>Obligation!A15</f>
        <v/>
      </c>
      <c r="B131">
        <f>Obligation!B15</f>
        <v/>
      </c>
      <c r="C131">
        <f>IFERROR(VLOOKUP($A131,$A$2:$H$121,3,FALSE),0)</f>
        <v/>
      </c>
      <c r="D131">
        <f>IFERROR(VLOOKUP($A131,$A$2:$H$121,4,FALSE),0)</f>
        <v/>
      </c>
      <c r="E131">
        <f>IFERROR(VLOOKUP($A131,$A$2:$H$121,5,FALSE),0)</f>
        <v/>
      </c>
      <c r="F131">
        <f>IFERROR(VLOOKUP($A131,$A$2:$H$121,6,FALSE),0)</f>
        <v/>
      </c>
      <c r="G131">
        <f>IFERROR(VLOOKUP($A131,$A$2:$H$121,7,FALSE),0)</f>
        <v/>
      </c>
      <c r="H131">
        <f>IFERROR(VLOOKUP($A131,$A$2:$H$121,8,FALSE),0)</f>
        <v/>
      </c>
    </row>
    <row r="132">
      <c r="A132">
        <f>Obligation!A16</f>
        <v/>
      </c>
      <c r="B132">
        <f>Obligation!B16</f>
        <v/>
      </c>
      <c r="C132">
        <f>IFERROR(VLOOKUP($A132,$A$2:$H$121,3,FALSE),0)</f>
        <v/>
      </c>
      <c r="D132">
        <f>IFERROR(VLOOKUP($A132,$A$2:$H$121,4,FALSE),0)</f>
        <v/>
      </c>
      <c r="E132">
        <f>IFERROR(VLOOKUP($A132,$A$2:$H$121,5,FALSE),0)</f>
        <v/>
      </c>
      <c r="F132">
        <f>IFERROR(VLOOKUP($A132,$A$2:$H$121,6,FALSE),0)</f>
        <v/>
      </c>
      <c r="G132">
        <f>IFERROR(VLOOKUP($A132,$A$2:$H$121,7,FALSE),0)</f>
        <v/>
      </c>
      <c r="H132">
        <f>IFERROR(VLOOKUP($A132,$A$2:$H$121,8,FALSE),0)</f>
        <v/>
      </c>
    </row>
    <row r="133">
      <c r="A133">
        <f>Obligation!A17</f>
        <v/>
      </c>
      <c r="B133">
        <f>Obligation!B17</f>
        <v/>
      </c>
      <c r="C133">
        <f>IFERROR(VLOOKUP($A133,$A$2:$H$121,3,FALSE),0)</f>
        <v/>
      </c>
      <c r="D133">
        <f>IFERROR(VLOOKUP($A133,$A$2:$H$121,4,FALSE),0)</f>
        <v/>
      </c>
      <c r="E133">
        <f>IFERROR(VLOOKUP($A133,$A$2:$H$121,5,FALSE),0)</f>
        <v/>
      </c>
      <c r="F133">
        <f>IFERROR(VLOOKUP($A133,$A$2:$H$121,6,FALSE),0)</f>
        <v/>
      </c>
      <c r="G133">
        <f>IFERROR(VLOOKUP($A133,$A$2:$H$121,7,FALSE),0)</f>
        <v/>
      </c>
      <c r="H133">
        <f>IFERROR(VLOOKUP($A133,$A$2:$H$121,8,FALSE),0)</f>
        <v/>
      </c>
    </row>
    <row r="134">
      <c r="A134">
        <f>Obligation!A18</f>
        <v/>
      </c>
      <c r="B134">
        <f>Obligation!B18</f>
        <v/>
      </c>
      <c r="C134">
        <f>IFERROR(VLOOKUP($A134,$A$2:$H$121,3,FALSE),0)</f>
        <v/>
      </c>
      <c r="D134">
        <f>IFERROR(VLOOKUP($A134,$A$2:$H$121,4,FALSE),0)</f>
        <v/>
      </c>
      <c r="E134">
        <f>IFERROR(VLOOKUP($A134,$A$2:$H$121,5,FALSE),0)</f>
        <v/>
      </c>
      <c r="F134">
        <f>IFERROR(VLOOKUP($A134,$A$2:$H$121,6,FALSE),0)</f>
        <v/>
      </c>
      <c r="G134">
        <f>IFERROR(VLOOKUP($A134,$A$2:$H$121,7,FALSE),0)</f>
        <v/>
      </c>
      <c r="H134">
        <f>IFERROR(VLOOKUP($A134,$A$2:$H$121,8,FALSE),0)</f>
        <v/>
      </c>
    </row>
    <row r="135">
      <c r="A135">
        <f>Obligation!A19</f>
        <v/>
      </c>
      <c r="B135">
        <f>Obligation!B19</f>
        <v/>
      </c>
      <c r="C135">
        <f>IFERROR(VLOOKUP($A135,$A$2:$H$121,3,FALSE),0)</f>
        <v/>
      </c>
      <c r="D135">
        <f>IFERROR(VLOOKUP($A135,$A$2:$H$121,4,FALSE),0)</f>
        <v/>
      </c>
      <c r="E135">
        <f>IFERROR(VLOOKUP($A135,$A$2:$H$121,5,FALSE),0)</f>
        <v/>
      </c>
      <c r="F135">
        <f>IFERROR(VLOOKUP($A135,$A$2:$H$121,6,FALSE),0)</f>
        <v/>
      </c>
      <c r="G135">
        <f>IFERROR(VLOOKUP($A135,$A$2:$H$121,7,FALSE),0)</f>
        <v/>
      </c>
      <c r="H135">
        <f>IFERROR(VLOOKUP($A135,$A$2:$H$121,8,FALSE),0)</f>
        <v/>
      </c>
    </row>
    <row r="136">
      <c r="A136">
        <f>Obligation!A20</f>
        <v/>
      </c>
      <c r="B136">
        <f>Obligation!B20</f>
        <v/>
      </c>
      <c r="C136">
        <f>IFERROR(VLOOKUP($A136,$A$2:$H$121,3,FALSE),0)</f>
        <v/>
      </c>
      <c r="D136">
        <f>IFERROR(VLOOKUP($A136,$A$2:$H$121,4,FALSE),0)</f>
        <v/>
      </c>
      <c r="E136">
        <f>IFERROR(VLOOKUP($A136,$A$2:$H$121,5,FALSE),0)</f>
        <v/>
      </c>
      <c r="F136">
        <f>IFERROR(VLOOKUP($A136,$A$2:$H$121,6,FALSE),0)</f>
        <v/>
      </c>
      <c r="G136">
        <f>IFERROR(VLOOKUP($A136,$A$2:$H$121,7,FALSE),0)</f>
        <v/>
      </c>
      <c r="H136">
        <f>IFERROR(VLOOKUP($A136,$A$2:$H$121,8,FALSE),0)</f>
        <v/>
      </c>
    </row>
    <row r="137">
      <c r="A137">
        <f>Obligation!A21</f>
        <v/>
      </c>
      <c r="B137">
        <f>Obligation!B21</f>
        <v/>
      </c>
      <c r="C137">
        <f>IFERROR(VLOOKUP($A137,$A$2:$H$121,3,FALSE),0)</f>
        <v/>
      </c>
      <c r="D137">
        <f>IFERROR(VLOOKUP($A137,$A$2:$H$121,4,FALSE),0)</f>
        <v/>
      </c>
      <c r="E137">
        <f>IFERROR(VLOOKUP($A137,$A$2:$H$121,5,FALSE),0)</f>
        <v/>
      </c>
      <c r="F137">
        <f>IFERROR(VLOOKUP($A137,$A$2:$H$121,6,FALSE),0)</f>
        <v/>
      </c>
      <c r="G137">
        <f>IFERROR(VLOOKUP($A137,$A$2:$H$121,7,FALSE),0)</f>
        <v/>
      </c>
      <c r="H137">
        <f>IFERROR(VLOOKUP($A137,$A$2:$H$121,8,FALSE),0)</f>
        <v/>
      </c>
    </row>
    <row r="138">
      <c r="A138">
        <f>Obligation!A22</f>
        <v/>
      </c>
      <c r="B138">
        <f>Obligation!B22</f>
        <v/>
      </c>
      <c r="C138">
        <f>IFERROR(VLOOKUP($A138,$A$2:$H$121,3,FALSE),0)</f>
        <v/>
      </c>
      <c r="D138">
        <f>IFERROR(VLOOKUP($A138,$A$2:$H$121,4,FALSE),0)</f>
        <v/>
      </c>
      <c r="E138">
        <f>IFERROR(VLOOKUP($A138,$A$2:$H$121,5,FALSE),0)</f>
        <v/>
      </c>
      <c r="F138">
        <f>IFERROR(VLOOKUP($A138,$A$2:$H$121,6,FALSE),0)</f>
        <v/>
      </c>
      <c r="G138">
        <f>IFERROR(VLOOKUP($A138,$A$2:$H$121,7,FALSE),0)</f>
        <v/>
      </c>
      <c r="H138">
        <f>IFERROR(VLOOKUP($A138,$A$2:$H$121,8,FALSE),0)</f>
        <v/>
      </c>
    </row>
    <row r="139">
      <c r="A139">
        <f>Obligation!A23</f>
        <v/>
      </c>
      <c r="B139">
        <f>Obligation!B23</f>
        <v/>
      </c>
      <c r="C139">
        <f>IFERROR(VLOOKUP($A139,$A$2:$H$121,3,FALSE),0)</f>
        <v/>
      </c>
      <c r="D139">
        <f>IFERROR(VLOOKUP($A139,$A$2:$H$121,4,FALSE),0)</f>
        <v/>
      </c>
      <c r="E139">
        <f>IFERROR(VLOOKUP($A139,$A$2:$H$121,5,FALSE),0)</f>
        <v/>
      </c>
      <c r="F139">
        <f>IFERROR(VLOOKUP($A139,$A$2:$H$121,6,FALSE),0)</f>
        <v/>
      </c>
      <c r="G139">
        <f>IFERROR(VLOOKUP($A139,$A$2:$H$121,7,FALSE),0)</f>
        <v/>
      </c>
      <c r="H139">
        <f>IFERROR(VLOOKUP($A139,$A$2:$H$121,8,FALSE),0)</f>
        <v/>
      </c>
    </row>
    <row r="140">
      <c r="A140">
        <f>Obligation!A24</f>
        <v/>
      </c>
      <c r="B140">
        <f>Obligation!B24</f>
        <v/>
      </c>
      <c r="C140">
        <f>IFERROR(VLOOKUP($A140,$A$2:$H$121,3,FALSE),0)</f>
        <v/>
      </c>
      <c r="D140">
        <f>IFERROR(VLOOKUP($A140,$A$2:$H$121,4,FALSE),0)</f>
        <v/>
      </c>
      <c r="E140">
        <f>IFERROR(VLOOKUP($A140,$A$2:$H$121,5,FALSE),0)</f>
        <v/>
      </c>
      <c r="F140">
        <f>IFERROR(VLOOKUP($A140,$A$2:$H$121,6,FALSE),0)</f>
        <v/>
      </c>
      <c r="G140">
        <f>IFERROR(VLOOKUP($A140,$A$2:$H$121,7,FALSE),0)</f>
        <v/>
      </c>
      <c r="H140">
        <f>IFERROR(VLOOKUP($A140,$A$2:$H$121,8,FALSE),0)</f>
        <v/>
      </c>
    </row>
    <row r="141">
      <c r="A141">
        <f>Obligation!A25</f>
        <v/>
      </c>
      <c r="B141">
        <f>Obligation!B25</f>
        <v/>
      </c>
      <c r="C141">
        <f>IFERROR(VLOOKUP($A141,$A$2:$H$121,3,FALSE),0)</f>
        <v/>
      </c>
      <c r="D141">
        <f>IFERROR(VLOOKUP($A141,$A$2:$H$121,4,FALSE),0)</f>
        <v/>
      </c>
      <c r="E141">
        <f>IFERROR(VLOOKUP($A141,$A$2:$H$121,5,FALSE),0)</f>
        <v/>
      </c>
      <c r="F141">
        <f>IFERROR(VLOOKUP($A141,$A$2:$H$121,6,FALSE),0)</f>
        <v/>
      </c>
      <c r="G141">
        <f>IFERROR(VLOOKUP($A141,$A$2:$H$121,7,FALSE),0)</f>
        <v/>
      </c>
      <c r="H141">
        <f>IFERROR(VLOOKUP($A141,$A$2:$H$121,8,FALSE),0)</f>
        <v/>
      </c>
    </row>
    <row r="142">
      <c r="A142">
        <f>Obligation!A26</f>
        <v/>
      </c>
      <c r="B142">
        <f>Obligation!B26</f>
        <v/>
      </c>
      <c r="C142">
        <f>IFERROR(VLOOKUP($A142,$A$2:$H$121,3,FALSE),0)</f>
        <v/>
      </c>
      <c r="D142">
        <f>IFERROR(VLOOKUP($A142,$A$2:$H$121,4,FALSE),0)</f>
        <v/>
      </c>
      <c r="E142">
        <f>IFERROR(VLOOKUP($A142,$A$2:$H$121,5,FALSE),0)</f>
        <v/>
      </c>
      <c r="F142">
        <f>IFERROR(VLOOKUP($A142,$A$2:$H$121,6,FALSE),0)</f>
        <v/>
      </c>
      <c r="G142">
        <f>IFERROR(VLOOKUP($A142,$A$2:$H$121,7,FALSE),0)</f>
        <v/>
      </c>
      <c r="H142">
        <f>IFERROR(VLOOKUP($A142,$A$2:$H$121,8,FALSE),0)</f>
        <v/>
      </c>
    </row>
    <row r="143">
      <c r="A143">
        <f>Obligation!A27</f>
        <v/>
      </c>
      <c r="B143">
        <f>Obligation!B27</f>
        <v/>
      </c>
      <c r="C143">
        <f>IFERROR(VLOOKUP($A143,$A$2:$H$121,3,FALSE),0)</f>
        <v/>
      </c>
      <c r="D143">
        <f>IFERROR(VLOOKUP($A143,$A$2:$H$121,4,FALSE),0)</f>
        <v/>
      </c>
      <c r="E143">
        <f>IFERROR(VLOOKUP($A143,$A$2:$H$121,5,FALSE),0)</f>
        <v/>
      </c>
      <c r="F143">
        <f>IFERROR(VLOOKUP($A143,$A$2:$H$121,6,FALSE),0)</f>
        <v/>
      </c>
      <c r="G143">
        <f>IFERROR(VLOOKUP($A143,$A$2:$H$121,7,FALSE),0)</f>
        <v/>
      </c>
      <c r="H143">
        <f>IFERROR(VLOOKUP($A143,$A$2:$H$121,8,FALSE),0)</f>
        <v/>
      </c>
    </row>
    <row r="144">
      <c r="A144">
        <f>Obligation!A28</f>
        <v/>
      </c>
      <c r="B144">
        <f>Obligation!B28</f>
        <v/>
      </c>
      <c r="C144">
        <f>IFERROR(VLOOKUP($A144,$A$2:$H$121,3,FALSE),0)</f>
        <v/>
      </c>
      <c r="D144">
        <f>IFERROR(VLOOKUP($A144,$A$2:$H$121,4,FALSE),0)</f>
        <v/>
      </c>
      <c r="E144">
        <f>IFERROR(VLOOKUP($A144,$A$2:$H$121,5,FALSE),0)</f>
        <v/>
      </c>
      <c r="F144">
        <f>IFERROR(VLOOKUP($A144,$A$2:$H$121,6,FALSE),0)</f>
        <v/>
      </c>
      <c r="G144">
        <f>IFERROR(VLOOKUP($A144,$A$2:$H$121,7,FALSE),0)</f>
        <v/>
      </c>
      <c r="H144">
        <f>IFERROR(VLOOKUP($A144,$A$2:$H$121,8,FALSE),0)</f>
        <v/>
      </c>
    </row>
    <row r="145">
      <c r="A145">
        <f>Obligation!A29</f>
        <v/>
      </c>
      <c r="B145">
        <f>Obligation!B29</f>
        <v/>
      </c>
      <c r="C145">
        <f>IFERROR(VLOOKUP($A145,$A$2:$H$121,3,FALSE),0)</f>
        <v/>
      </c>
      <c r="D145">
        <f>IFERROR(VLOOKUP($A145,$A$2:$H$121,4,FALSE),0)</f>
        <v/>
      </c>
      <c r="E145">
        <f>IFERROR(VLOOKUP($A145,$A$2:$H$121,5,FALSE),0)</f>
        <v/>
      </c>
      <c r="F145">
        <f>IFERROR(VLOOKUP($A145,$A$2:$H$121,6,FALSE),0)</f>
        <v/>
      </c>
      <c r="G145">
        <f>IFERROR(VLOOKUP($A145,$A$2:$H$121,7,FALSE),0)</f>
        <v/>
      </c>
      <c r="H145">
        <f>IFERROR(VLOOKUP($A145,$A$2:$H$121,8,FALSE),0)</f>
        <v/>
      </c>
    </row>
    <row r="146">
      <c r="A146">
        <f>Obligation!A30</f>
        <v/>
      </c>
      <c r="B146">
        <f>Obligation!B30</f>
        <v/>
      </c>
      <c r="C146">
        <f>IFERROR(VLOOKUP($A146,$A$2:$H$121,3,FALSE),0)</f>
        <v/>
      </c>
      <c r="D146">
        <f>IFERROR(VLOOKUP($A146,$A$2:$H$121,4,FALSE),0)</f>
        <v/>
      </c>
      <c r="E146">
        <f>IFERROR(VLOOKUP($A146,$A$2:$H$121,5,FALSE),0)</f>
        <v/>
      </c>
      <c r="F146">
        <f>IFERROR(VLOOKUP($A146,$A$2:$H$121,6,FALSE),0)</f>
        <v/>
      </c>
      <c r="G146">
        <f>IFERROR(VLOOKUP($A146,$A$2:$H$121,7,FALSE),0)</f>
        <v/>
      </c>
      <c r="H146">
        <f>IFERROR(VLOOKUP($A146,$A$2:$H$121,8,FALSE),0)</f>
        <v/>
      </c>
    </row>
    <row r="147">
      <c r="A147">
        <f>Obligation!A31</f>
        <v/>
      </c>
      <c r="B147">
        <f>Obligation!B31</f>
        <v/>
      </c>
      <c r="C147">
        <f>IFERROR(VLOOKUP($A147,$A$2:$H$121,3,FALSE),0)</f>
        <v/>
      </c>
      <c r="D147">
        <f>IFERROR(VLOOKUP($A147,$A$2:$H$121,4,FALSE),0)</f>
        <v/>
      </c>
      <c r="E147">
        <f>IFERROR(VLOOKUP($A147,$A$2:$H$121,5,FALSE),0)</f>
        <v/>
      </c>
      <c r="F147">
        <f>IFERROR(VLOOKUP($A147,$A$2:$H$121,6,FALSE),0)</f>
        <v/>
      </c>
      <c r="G147">
        <f>IFERROR(VLOOKUP($A147,$A$2:$H$121,7,FALSE),0)</f>
        <v/>
      </c>
      <c r="H147">
        <f>IFERROR(VLOOKUP($A147,$A$2:$H$121,8,FALSE),0)</f>
        <v/>
      </c>
    </row>
    <row r="148">
      <c r="A148">
        <f>Obligation!A32</f>
        <v/>
      </c>
      <c r="B148">
        <f>Obligation!B32</f>
        <v/>
      </c>
      <c r="C148">
        <f>IFERROR(VLOOKUP($A148,$A$2:$H$121,3,FALSE),0)</f>
        <v/>
      </c>
      <c r="D148">
        <f>IFERROR(VLOOKUP($A148,$A$2:$H$121,4,FALSE),0)</f>
        <v/>
      </c>
      <c r="E148">
        <f>IFERROR(VLOOKUP($A148,$A$2:$H$121,5,FALSE),0)</f>
        <v/>
      </c>
      <c r="F148">
        <f>IFERROR(VLOOKUP($A148,$A$2:$H$121,6,FALSE),0)</f>
        <v/>
      </c>
      <c r="G148">
        <f>IFERROR(VLOOKUP($A148,$A$2:$H$121,7,FALSE),0)</f>
        <v/>
      </c>
      <c r="H148">
        <f>IFERROR(VLOOKUP($A148,$A$2:$H$121,8,FALSE),0)</f>
        <v/>
      </c>
    </row>
    <row r="149">
      <c r="A149">
        <f>Obligation!A33</f>
        <v/>
      </c>
      <c r="B149">
        <f>Obligation!B33</f>
        <v/>
      </c>
      <c r="C149">
        <f>IFERROR(VLOOKUP($A149,$A$2:$H$121,3,FALSE),0)</f>
        <v/>
      </c>
      <c r="D149">
        <f>IFERROR(VLOOKUP($A149,$A$2:$H$121,4,FALSE),0)</f>
        <v/>
      </c>
      <c r="E149">
        <f>IFERROR(VLOOKUP($A149,$A$2:$H$121,5,FALSE),0)</f>
        <v/>
      </c>
      <c r="F149">
        <f>IFERROR(VLOOKUP($A149,$A$2:$H$121,6,FALSE),0)</f>
        <v/>
      </c>
      <c r="G149">
        <f>IFERROR(VLOOKUP($A149,$A$2:$H$121,7,FALSE),0)</f>
        <v/>
      </c>
      <c r="H149">
        <f>IFERROR(VLOOKUP($A149,$A$2:$H$121,8,FALSE),0)</f>
        <v/>
      </c>
    </row>
    <row r="150">
      <c r="A150">
        <f>Obligation!A34</f>
        <v/>
      </c>
      <c r="B150">
        <f>Obligation!B34</f>
        <v/>
      </c>
      <c r="C150">
        <f>IFERROR(VLOOKUP($A150,$A$2:$H$121,3,FALSE),0)</f>
        <v/>
      </c>
      <c r="D150">
        <f>IFERROR(VLOOKUP($A150,$A$2:$H$121,4,FALSE),0)</f>
        <v/>
      </c>
      <c r="E150">
        <f>IFERROR(VLOOKUP($A150,$A$2:$H$121,5,FALSE),0)</f>
        <v/>
      </c>
      <c r="F150">
        <f>IFERROR(VLOOKUP($A150,$A$2:$H$121,6,FALSE),0)</f>
        <v/>
      </c>
      <c r="G150">
        <f>IFERROR(VLOOKUP($A150,$A$2:$H$121,7,FALSE),0)</f>
        <v/>
      </c>
      <c r="H150">
        <f>IFERROR(VLOOKUP($A150,$A$2:$H$121,8,FALSE),0)</f>
        <v/>
      </c>
    </row>
    <row r="151">
      <c r="A151">
        <f>Obligation!A35</f>
        <v/>
      </c>
      <c r="B151">
        <f>Obligation!B35</f>
        <v/>
      </c>
      <c r="C151">
        <f>IFERROR(VLOOKUP($A151,$A$2:$H$121,3,FALSE),0)</f>
        <v/>
      </c>
      <c r="D151">
        <f>IFERROR(VLOOKUP($A151,$A$2:$H$121,4,FALSE),0)</f>
        <v/>
      </c>
      <c r="E151">
        <f>IFERROR(VLOOKUP($A151,$A$2:$H$121,5,FALSE),0)</f>
        <v/>
      </c>
      <c r="F151">
        <f>IFERROR(VLOOKUP($A151,$A$2:$H$121,6,FALSE),0)</f>
        <v/>
      </c>
      <c r="G151">
        <f>IFERROR(VLOOKUP($A151,$A$2:$H$121,7,FALSE),0)</f>
        <v/>
      </c>
      <c r="H151">
        <f>IFERROR(VLOOKUP($A151,$A$2:$H$121,8,FALSE),0)</f>
        <v/>
      </c>
    </row>
    <row r="152">
      <c r="A152">
        <f>Obligation!A36</f>
        <v/>
      </c>
      <c r="B152">
        <f>Obligation!B36</f>
        <v/>
      </c>
      <c r="C152">
        <f>IFERROR(VLOOKUP($A152,$A$2:$H$121,3,FALSE),0)</f>
        <v/>
      </c>
      <c r="D152">
        <f>IFERROR(VLOOKUP($A152,$A$2:$H$121,4,FALSE),0)</f>
        <v/>
      </c>
      <c r="E152">
        <f>IFERROR(VLOOKUP($A152,$A$2:$H$121,5,FALSE),0)</f>
        <v/>
      </c>
      <c r="F152">
        <f>IFERROR(VLOOKUP($A152,$A$2:$H$121,6,FALSE),0)</f>
        <v/>
      </c>
      <c r="G152">
        <f>IFERROR(VLOOKUP($A152,$A$2:$H$121,7,FALSE),0)</f>
        <v/>
      </c>
      <c r="H152">
        <f>IFERROR(VLOOKUP($A152,$A$2:$H$121,8,FALSE),0)</f>
        <v/>
      </c>
    </row>
    <row r="153">
      <c r="A153">
        <f>Obligation!A37</f>
        <v/>
      </c>
      <c r="B153">
        <f>Obligation!B37</f>
        <v/>
      </c>
      <c r="C153">
        <f>IFERROR(VLOOKUP($A153,$A$2:$H$121,3,FALSE),0)</f>
        <v/>
      </c>
      <c r="D153">
        <f>IFERROR(VLOOKUP($A153,$A$2:$H$121,4,FALSE),0)</f>
        <v/>
      </c>
      <c r="E153">
        <f>IFERROR(VLOOKUP($A153,$A$2:$H$121,5,FALSE),0)</f>
        <v/>
      </c>
      <c r="F153">
        <f>IFERROR(VLOOKUP($A153,$A$2:$H$121,6,FALSE),0)</f>
        <v/>
      </c>
      <c r="G153">
        <f>IFERROR(VLOOKUP($A153,$A$2:$H$121,7,FALSE),0)</f>
        <v/>
      </c>
      <c r="H153">
        <f>IFERROR(VLOOKUP($A153,$A$2:$H$121,8,FALSE),0)</f>
        <v/>
      </c>
    </row>
    <row r="154">
      <c r="A154">
        <f>Obligation!A38</f>
        <v/>
      </c>
      <c r="B154">
        <f>Obligation!B38</f>
        <v/>
      </c>
      <c r="C154">
        <f>IFERROR(VLOOKUP($A154,$A$2:$H$121,3,FALSE),0)</f>
        <v/>
      </c>
      <c r="D154">
        <f>IFERROR(VLOOKUP($A154,$A$2:$H$121,4,FALSE),0)</f>
        <v/>
      </c>
      <c r="E154">
        <f>IFERROR(VLOOKUP($A154,$A$2:$H$121,5,FALSE),0)</f>
        <v/>
      </c>
      <c r="F154">
        <f>IFERROR(VLOOKUP($A154,$A$2:$H$121,6,FALSE),0)</f>
        <v/>
      </c>
      <c r="G154">
        <f>IFERROR(VLOOKUP($A154,$A$2:$H$121,7,FALSE),0)</f>
        <v/>
      </c>
      <c r="H154">
        <f>IFERROR(VLOOKUP($A154,$A$2:$H$121,8,FALSE),0)</f>
        <v/>
      </c>
    </row>
    <row r="155">
      <c r="A155">
        <f>Obligation!A39</f>
        <v/>
      </c>
      <c r="B155">
        <f>Obligation!B39</f>
        <v/>
      </c>
      <c r="C155">
        <f>IFERROR(VLOOKUP($A155,$A$2:$H$121,3,FALSE),0)</f>
        <v/>
      </c>
      <c r="D155">
        <f>IFERROR(VLOOKUP($A155,$A$2:$H$121,4,FALSE),0)</f>
        <v/>
      </c>
      <c r="E155">
        <f>IFERROR(VLOOKUP($A155,$A$2:$H$121,5,FALSE),0)</f>
        <v/>
      </c>
      <c r="F155">
        <f>IFERROR(VLOOKUP($A155,$A$2:$H$121,6,FALSE),0)</f>
        <v/>
      </c>
      <c r="G155">
        <f>IFERROR(VLOOKUP($A155,$A$2:$H$121,7,FALSE),0)</f>
        <v/>
      </c>
      <c r="H155">
        <f>IFERROR(VLOOKUP($A155,$A$2:$H$121,8,FALSE),0)</f>
        <v/>
      </c>
    </row>
    <row r="156">
      <c r="A156">
        <f>Obligation!A40</f>
        <v/>
      </c>
      <c r="B156">
        <f>Obligation!B40</f>
        <v/>
      </c>
      <c r="C156">
        <f>IFERROR(VLOOKUP($A156,$A$2:$H$121,3,FALSE),0)</f>
        <v/>
      </c>
      <c r="D156">
        <f>IFERROR(VLOOKUP($A156,$A$2:$H$121,4,FALSE),0)</f>
        <v/>
      </c>
      <c r="E156">
        <f>IFERROR(VLOOKUP($A156,$A$2:$H$121,5,FALSE),0)</f>
        <v/>
      </c>
      <c r="F156">
        <f>IFERROR(VLOOKUP($A156,$A$2:$H$121,6,FALSE),0)</f>
        <v/>
      </c>
      <c r="G156">
        <f>IFERROR(VLOOKUP($A156,$A$2:$H$121,7,FALSE),0)</f>
        <v/>
      </c>
      <c r="H156">
        <f>IFERROR(VLOOKUP($A156,$A$2:$H$121,8,FALSE),0)</f>
        <v/>
      </c>
    </row>
    <row r="157">
      <c r="A157">
        <f>Obligation!A41</f>
        <v/>
      </c>
      <c r="B157">
        <f>Obligation!B41</f>
        <v/>
      </c>
      <c r="C157">
        <f>IFERROR(VLOOKUP($A157,$A$2:$H$121,3,FALSE),0)</f>
        <v/>
      </c>
      <c r="D157">
        <f>IFERROR(VLOOKUP($A157,$A$2:$H$121,4,FALSE),0)</f>
        <v/>
      </c>
      <c r="E157">
        <f>IFERROR(VLOOKUP($A157,$A$2:$H$121,5,FALSE),0)</f>
        <v/>
      </c>
      <c r="F157">
        <f>IFERROR(VLOOKUP($A157,$A$2:$H$121,6,FALSE),0)</f>
        <v/>
      </c>
      <c r="G157">
        <f>IFERROR(VLOOKUP($A157,$A$2:$H$121,7,FALSE),0)</f>
        <v/>
      </c>
      <c r="H157">
        <f>IFERROR(VLOOKUP($A157,$A$2:$H$121,8,FALSE),0)</f>
        <v/>
      </c>
    </row>
    <row r="158">
      <c r="A158">
        <f>Obligation!A42</f>
        <v/>
      </c>
      <c r="B158">
        <f>Obligation!B42</f>
        <v/>
      </c>
      <c r="C158">
        <f>IFERROR(VLOOKUP($A158,$A$2:$H$121,3,FALSE),0)</f>
        <v/>
      </c>
      <c r="D158">
        <f>IFERROR(VLOOKUP($A158,$A$2:$H$121,4,FALSE),0)</f>
        <v/>
      </c>
      <c r="E158">
        <f>IFERROR(VLOOKUP($A158,$A$2:$H$121,5,FALSE),0)</f>
        <v/>
      </c>
      <c r="F158">
        <f>IFERROR(VLOOKUP($A158,$A$2:$H$121,6,FALSE),0)</f>
        <v/>
      </c>
      <c r="G158">
        <f>IFERROR(VLOOKUP($A158,$A$2:$H$121,7,FALSE),0)</f>
        <v/>
      </c>
      <c r="H158">
        <f>IFERROR(VLOOKUP($A158,$A$2:$H$121,8,FALSE),0)</f>
        <v/>
      </c>
    </row>
    <row r="159">
      <c r="A159">
        <f>Obligation!A43</f>
        <v/>
      </c>
      <c r="B159">
        <f>Obligation!B43</f>
        <v/>
      </c>
      <c r="C159">
        <f>IFERROR(VLOOKUP($A159,$A$2:$H$121,3,FALSE),0)</f>
        <v/>
      </c>
      <c r="D159">
        <f>IFERROR(VLOOKUP($A159,$A$2:$H$121,4,FALSE),0)</f>
        <v/>
      </c>
      <c r="E159">
        <f>IFERROR(VLOOKUP($A159,$A$2:$H$121,5,FALSE),0)</f>
        <v/>
      </c>
      <c r="F159">
        <f>IFERROR(VLOOKUP($A159,$A$2:$H$121,6,FALSE),0)</f>
        <v/>
      </c>
      <c r="G159">
        <f>IFERROR(VLOOKUP($A159,$A$2:$H$121,7,FALSE),0)</f>
        <v/>
      </c>
      <c r="H159">
        <f>IFERROR(VLOOKUP($A159,$A$2:$H$121,8,FALSE),0)</f>
        <v/>
      </c>
    </row>
    <row r="160">
      <c r="A160">
        <f>Obligation!A44</f>
        <v/>
      </c>
      <c r="B160">
        <f>Obligation!B44</f>
        <v/>
      </c>
      <c r="C160">
        <f>IFERROR(VLOOKUP($A160,$A$2:$H$121,3,FALSE),0)</f>
        <v/>
      </c>
      <c r="D160">
        <f>IFERROR(VLOOKUP($A160,$A$2:$H$121,4,FALSE),0)</f>
        <v/>
      </c>
      <c r="E160">
        <f>IFERROR(VLOOKUP($A160,$A$2:$H$121,5,FALSE),0)</f>
        <v/>
      </c>
      <c r="F160">
        <f>IFERROR(VLOOKUP($A160,$A$2:$H$121,6,FALSE),0)</f>
        <v/>
      </c>
      <c r="G160">
        <f>IFERROR(VLOOKUP($A160,$A$2:$H$121,7,FALSE),0)</f>
        <v/>
      </c>
      <c r="H160">
        <f>IFERROR(VLOOKUP($A160,$A$2:$H$121,8,FALSE),0)</f>
        <v/>
      </c>
    </row>
    <row r="161">
      <c r="A161">
        <f>Obligation!A45</f>
        <v/>
      </c>
      <c r="B161">
        <f>Obligation!B45</f>
        <v/>
      </c>
      <c r="C161">
        <f>IFERROR(VLOOKUP($A161,$A$2:$H$121,3,FALSE),0)</f>
        <v/>
      </c>
      <c r="D161">
        <f>IFERROR(VLOOKUP($A161,$A$2:$H$121,4,FALSE),0)</f>
        <v/>
      </c>
      <c r="E161">
        <f>IFERROR(VLOOKUP($A161,$A$2:$H$121,5,FALSE),0)</f>
        <v/>
      </c>
      <c r="F161">
        <f>IFERROR(VLOOKUP($A161,$A$2:$H$121,6,FALSE),0)</f>
        <v/>
      </c>
      <c r="G161">
        <f>IFERROR(VLOOKUP($A161,$A$2:$H$121,7,FALSE),0)</f>
        <v/>
      </c>
      <c r="H161">
        <f>IFERROR(VLOOKUP($A161,$A$2:$H$121,8,FALSE),0)</f>
        <v/>
      </c>
    </row>
    <row r="162">
      <c r="A162">
        <f>Obligation!A46</f>
        <v/>
      </c>
      <c r="B162">
        <f>Obligation!B46</f>
        <v/>
      </c>
      <c r="C162">
        <f>IFERROR(VLOOKUP($A162,$A$2:$H$121,3,FALSE),0)</f>
        <v/>
      </c>
      <c r="D162">
        <f>IFERROR(VLOOKUP($A162,$A$2:$H$121,4,FALSE),0)</f>
        <v/>
      </c>
      <c r="E162">
        <f>IFERROR(VLOOKUP($A162,$A$2:$H$121,5,FALSE),0)</f>
        <v/>
      </c>
      <c r="F162">
        <f>IFERROR(VLOOKUP($A162,$A$2:$H$121,6,FALSE),0)</f>
        <v/>
      </c>
      <c r="G162">
        <f>IFERROR(VLOOKUP($A162,$A$2:$H$121,7,FALSE),0)</f>
        <v/>
      </c>
      <c r="H162">
        <f>IFERROR(VLOOKUP($A162,$A$2:$H$121,8,FALSE),0)</f>
        <v/>
      </c>
    </row>
    <row r="163">
      <c r="A163">
        <f>Obligation!A47</f>
        <v/>
      </c>
      <c r="B163">
        <f>Obligation!B47</f>
        <v/>
      </c>
      <c r="C163">
        <f>IFERROR(VLOOKUP($A163,$A$2:$H$121,3,FALSE),0)</f>
        <v/>
      </c>
      <c r="D163">
        <f>IFERROR(VLOOKUP($A163,$A$2:$H$121,4,FALSE),0)</f>
        <v/>
      </c>
      <c r="E163">
        <f>IFERROR(VLOOKUP($A163,$A$2:$H$121,5,FALSE),0)</f>
        <v/>
      </c>
      <c r="F163">
        <f>IFERROR(VLOOKUP($A163,$A$2:$H$121,6,FALSE),0)</f>
        <v/>
      </c>
      <c r="G163">
        <f>IFERROR(VLOOKUP($A163,$A$2:$H$121,7,FALSE),0)</f>
        <v/>
      </c>
      <c r="H163">
        <f>IFERROR(VLOOKUP($A163,$A$2:$H$121,8,FALSE),0)</f>
        <v/>
      </c>
    </row>
    <row r="164">
      <c r="A164">
        <f>Obligation!A48</f>
        <v/>
      </c>
      <c r="B164">
        <f>Obligation!B48</f>
        <v/>
      </c>
      <c r="C164">
        <f>IFERROR(VLOOKUP($A164,$A$2:$H$121,3,FALSE),0)</f>
        <v/>
      </c>
      <c r="D164">
        <f>IFERROR(VLOOKUP($A164,$A$2:$H$121,4,FALSE),0)</f>
        <v/>
      </c>
      <c r="E164">
        <f>IFERROR(VLOOKUP($A164,$A$2:$H$121,5,FALSE),0)</f>
        <v/>
      </c>
      <c r="F164">
        <f>IFERROR(VLOOKUP($A164,$A$2:$H$121,6,FALSE),0)</f>
        <v/>
      </c>
      <c r="G164">
        <f>IFERROR(VLOOKUP($A164,$A$2:$H$121,7,FALSE),0)</f>
        <v/>
      </c>
      <c r="H164">
        <f>IFERROR(VLOOKUP($A164,$A$2:$H$121,8,FALSE),0)</f>
        <v/>
      </c>
    </row>
    <row r="165">
      <c r="A165">
        <f>Obligation!A49</f>
        <v/>
      </c>
      <c r="B165">
        <f>Obligation!B49</f>
        <v/>
      </c>
      <c r="C165">
        <f>IFERROR(VLOOKUP($A165,$A$2:$H$121,3,FALSE),0)</f>
        <v/>
      </c>
      <c r="D165">
        <f>IFERROR(VLOOKUP($A165,$A$2:$H$121,4,FALSE),0)</f>
        <v/>
      </c>
      <c r="E165">
        <f>IFERROR(VLOOKUP($A165,$A$2:$H$121,5,FALSE),0)</f>
        <v/>
      </c>
      <c r="F165">
        <f>IFERROR(VLOOKUP($A165,$A$2:$H$121,6,FALSE),0)</f>
        <v/>
      </c>
      <c r="G165">
        <f>IFERROR(VLOOKUP($A165,$A$2:$H$121,7,FALSE),0)</f>
        <v/>
      </c>
      <c r="H165">
        <f>IFERROR(VLOOKUP($A165,$A$2:$H$121,8,FALSE),0)</f>
        <v/>
      </c>
    </row>
    <row r="166">
      <c r="A166">
        <f>Obligation!A50</f>
        <v/>
      </c>
      <c r="B166">
        <f>Obligation!B50</f>
        <v/>
      </c>
      <c r="C166">
        <f>IFERROR(VLOOKUP($A166,$A$2:$H$121,3,FALSE),0)</f>
        <v/>
      </c>
      <c r="D166">
        <f>IFERROR(VLOOKUP($A166,$A$2:$H$121,4,FALSE),0)</f>
        <v/>
      </c>
      <c r="E166">
        <f>IFERROR(VLOOKUP($A166,$A$2:$H$121,5,FALSE),0)</f>
        <v/>
      </c>
      <c r="F166">
        <f>IFERROR(VLOOKUP($A166,$A$2:$H$121,6,FALSE),0)</f>
        <v/>
      </c>
      <c r="G166">
        <f>IFERROR(VLOOKUP($A166,$A$2:$H$121,7,FALSE),0)</f>
        <v/>
      </c>
      <c r="H166">
        <f>IFERROR(VLOOKUP($A166,$A$2:$H$121,8,FALSE),0)</f>
        <v/>
      </c>
    </row>
    <row r="167">
      <c r="A167">
        <f>Obligation!A51</f>
        <v/>
      </c>
      <c r="B167">
        <f>Obligation!B51</f>
        <v/>
      </c>
      <c r="C167">
        <f>IFERROR(VLOOKUP($A167,$A$2:$H$121,3,FALSE),0)</f>
        <v/>
      </c>
      <c r="D167">
        <f>IFERROR(VLOOKUP($A167,$A$2:$H$121,4,FALSE),0)</f>
        <v/>
      </c>
      <c r="E167">
        <f>IFERROR(VLOOKUP($A167,$A$2:$H$121,5,FALSE),0)</f>
        <v/>
      </c>
      <c r="F167">
        <f>IFERROR(VLOOKUP($A167,$A$2:$H$121,6,FALSE),0)</f>
        <v/>
      </c>
      <c r="G167">
        <f>IFERROR(VLOOKUP($A167,$A$2:$H$121,7,FALSE),0)</f>
        <v/>
      </c>
      <c r="H167">
        <f>IFERROR(VLOOKUP($A167,$A$2:$H$121,8,FALSE),0)</f>
        <v/>
      </c>
    </row>
    <row r="168">
      <c r="A168">
        <f>Obligation!A52</f>
        <v/>
      </c>
      <c r="B168">
        <f>Obligation!B52</f>
        <v/>
      </c>
      <c r="C168">
        <f>IFERROR(VLOOKUP($A168,$A$2:$H$121,3,FALSE),0)</f>
        <v/>
      </c>
      <c r="D168">
        <f>IFERROR(VLOOKUP($A168,$A$2:$H$121,4,FALSE),0)</f>
        <v/>
      </c>
      <c r="E168">
        <f>IFERROR(VLOOKUP($A168,$A$2:$H$121,5,FALSE),0)</f>
        <v/>
      </c>
      <c r="F168">
        <f>IFERROR(VLOOKUP($A168,$A$2:$H$121,6,FALSE),0)</f>
        <v/>
      </c>
      <c r="G168">
        <f>IFERROR(VLOOKUP($A168,$A$2:$H$121,7,FALSE),0)</f>
        <v/>
      </c>
      <c r="H168">
        <f>IFERROR(VLOOKUP($A168,$A$2:$H$121,8,FALSE),0)</f>
        <v/>
      </c>
    </row>
    <row r="169">
      <c r="A169">
        <f>Obligation!A53</f>
        <v/>
      </c>
      <c r="B169">
        <f>Obligation!B53</f>
        <v/>
      </c>
      <c r="C169">
        <f>IFERROR(VLOOKUP($A169,$A$2:$H$121,3,FALSE),0)</f>
        <v/>
      </c>
      <c r="D169">
        <f>IFERROR(VLOOKUP($A169,$A$2:$H$121,4,FALSE),0)</f>
        <v/>
      </c>
      <c r="E169">
        <f>IFERROR(VLOOKUP($A169,$A$2:$H$121,5,FALSE),0)</f>
        <v/>
      </c>
      <c r="F169">
        <f>IFERROR(VLOOKUP($A169,$A$2:$H$121,6,FALSE),0)</f>
        <v/>
      </c>
      <c r="G169">
        <f>IFERROR(VLOOKUP($A169,$A$2:$H$121,7,FALSE),0)</f>
        <v/>
      </c>
      <c r="H169">
        <f>IFERROR(VLOOKUP($A169,$A$2:$H$121,8,FALSE),0)</f>
        <v/>
      </c>
    </row>
    <row r="170">
      <c r="A170">
        <f>Obligation!A54</f>
        <v/>
      </c>
      <c r="B170">
        <f>Obligation!B54</f>
        <v/>
      </c>
      <c r="C170">
        <f>IFERROR(VLOOKUP($A170,$A$2:$H$121,3,FALSE),0)</f>
        <v/>
      </c>
      <c r="D170">
        <f>IFERROR(VLOOKUP($A170,$A$2:$H$121,4,FALSE),0)</f>
        <v/>
      </c>
      <c r="E170">
        <f>IFERROR(VLOOKUP($A170,$A$2:$H$121,5,FALSE),0)</f>
        <v/>
      </c>
      <c r="F170">
        <f>IFERROR(VLOOKUP($A170,$A$2:$H$121,6,FALSE),0)</f>
        <v/>
      </c>
      <c r="G170">
        <f>IFERROR(VLOOKUP($A170,$A$2:$H$121,7,FALSE),0)</f>
        <v/>
      </c>
      <c r="H170">
        <f>IFERROR(VLOOKUP($A170,$A$2:$H$121,8,FALSE),0)</f>
        <v/>
      </c>
    </row>
    <row r="171">
      <c r="A171">
        <f>Obligation!A55</f>
        <v/>
      </c>
      <c r="B171">
        <f>Obligation!B55</f>
        <v/>
      </c>
      <c r="C171">
        <f>IFERROR(VLOOKUP($A171,$A$2:$H$121,3,FALSE),0)</f>
        <v/>
      </c>
      <c r="D171">
        <f>IFERROR(VLOOKUP($A171,$A$2:$H$121,4,FALSE),0)</f>
        <v/>
      </c>
      <c r="E171">
        <f>IFERROR(VLOOKUP($A171,$A$2:$H$121,5,FALSE),0)</f>
        <v/>
      </c>
      <c r="F171">
        <f>IFERROR(VLOOKUP($A171,$A$2:$H$121,6,FALSE),0)</f>
        <v/>
      </c>
      <c r="G171">
        <f>IFERROR(VLOOKUP($A171,$A$2:$H$121,7,FALSE),0)</f>
        <v/>
      </c>
      <c r="H171">
        <f>IFERROR(VLOOKUP($A171,$A$2:$H$121,8,FALSE),0)</f>
        <v/>
      </c>
    </row>
    <row r="172">
      <c r="A172">
        <f>Obligation!A56</f>
        <v/>
      </c>
      <c r="B172">
        <f>Obligation!B56</f>
        <v/>
      </c>
      <c r="C172">
        <f>IFERROR(VLOOKUP($A172,$A$2:$H$121,3,FALSE),0)</f>
        <v/>
      </c>
      <c r="D172">
        <f>IFERROR(VLOOKUP($A172,$A$2:$H$121,4,FALSE),0)</f>
        <v/>
      </c>
      <c r="E172">
        <f>IFERROR(VLOOKUP($A172,$A$2:$H$121,5,FALSE),0)</f>
        <v/>
      </c>
      <c r="F172">
        <f>IFERROR(VLOOKUP($A172,$A$2:$H$121,6,FALSE),0)</f>
        <v/>
      </c>
      <c r="G172">
        <f>IFERROR(VLOOKUP($A172,$A$2:$H$121,7,FALSE),0)</f>
        <v/>
      </c>
      <c r="H172">
        <f>IFERROR(VLOOKUP($A172,$A$2:$H$121,8,FALSE),0)</f>
        <v/>
      </c>
    </row>
    <row r="173">
      <c r="A173">
        <f>Obligation!A57</f>
        <v/>
      </c>
      <c r="B173">
        <f>Obligation!B57</f>
        <v/>
      </c>
      <c r="C173">
        <f>IFERROR(VLOOKUP($A173,$A$2:$H$121,3,FALSE),0)</f>
        <v/>
      </c>
      <c r="D173">
        <f>IFERROR(VLOOKUP($A173,$A$2:$H$121,4,FALSE),0)</f>
        <v/>
      </c>
      <c r="E173">
        <f>IFERROR(VLOOKUP($A173,$A$2:$H$121,5,FALSE),0)</f>
        <v/>
      </c>
      <c r="F173">
        <f>IFERROR(VLOOKUP($A173,$A$2:$H$121,6,FALSE),0)</f>
        <v/>
      </c>
      <c r="G173">
        <f>IFERROR(VLOOKUP($A173,$A$2:$H$121,7,FALSE),0)</f>
        <v/>
      </c>
      <c r="H173">
        <f>IFERROR(VLOOKUP($A173,$A$2:$H$121,8,FALSE),0)</f>
        <v/>
      </c>
    </row>
    <row r="174">
      <c r="A174">
        <f>Obligation!A58</f>
        <v/>
      </c>
      <c r="B174">
        <f>Obligation!B58</f>
        <v/>
      </c>
      <c r="C174">
        <f>IFERROR(VLOOKUP($A174,$A$2:$H$121,3,FALSE),0)</f>
        <v/>
      </c>
      <c r="D174">
        <f>IFERROR(VLOOKUP($A174,$A$2:$H$121,4,FALSE),0)</f>
        <v/>
      </c>
      <c r="E174">
        <f>IFERROR(VLOOKUP($A174,$A$2:$H$121,5,FALSE),0)</f>
        <v/>
      </c>
      <c r="F174">
        <f>IFERROR(VLOOKUP($A174,$A$2:$H$121,6,FALSE),0)</f>
        <v/>
      </c>
      <c r="G174">
        <f>IFERROR(VLOOKUP($A174,$A$2:$H$121,7,FALSE),0)</f>
        <v/>
      </c>
      <c r="H174">
        <f>IFERROR(VLOOKUP($A174,$A$2:$H$121,8,FALSE),0)</f>
        <v/>
      </c>
    </row>
    <row r="175">
      <c r="A175">
        <f>Obligation!A59</f>
        <v/>
      </c>
      <c r="B175">
        <f>Obligation!B59</f>
        <v/>
      </c>
      <c r="C175">
        <f>IFERROR(VLOOKUP($A175,$A$2:$H$121,3,FALSE),0)</f>
        <v/>
      </c>
      <c r="D175">
        <f>IFERROR(VLOOKUP($A175,$A$2:$H$121,4,FALSE),0)</f>
        <v/>
      </c>
      <c r="E175">
        <f>IFERROR(VLOOKUP($A175,$A$2:$H$121,5,FALSE),0)</f>
        <v/>
      </c>
      <c r="F175">
        <f>IFERROR(VLOOKUP($A175,$A$2:$H$121,6,FALSE),0)</f>
        <v/>
      </c>
      <c r="G175">
        <f>IFERROR(VLOOKUP($A175,$A$2:$H$121,7,FALSE),0)</f>
        <v/>
      </c>
      <c r="H175">
        <f>IFERROR(VLOOKUP($A175,$A$2:$H$121,8,FALSE),0)</f>
        <v/>
      </c>
    </row>
    <row r="176">
      <c r="A176">
        <f>Obligation!A60</f>
        <v/>
      </c>
      <c r="B176">
        <f>Obligation!B60</f>
        <v/>
      </c>
      <c r="C176">
        <f>IFERROR(VLOOKUP($A176,$A$2:$H$121,3,FALSE),0)</f>
        <v/>
      </c>
      <c r="D176">
        <f>IFERROR(VLOOKUP($A176,$A$2:$H$121,4,FALSE),0)</f>
        <v/>
      </c>
      <c r="E176">
        <f>IFERROR(VLOOKUP($A176,$A$2:$H$121,5,FALSE),0)</f>
        <v/>
      </c>
      <c r="F176">
        <f>IFERROR(VLOOKUP($A176,$A$2:$H$121,6,FALSE),0)</f>
        <v/>
      </c>
      <c r="G176">
        <f>IFERROR(VLOOKUP($A176,$A$2:$H$121,7,FALSE),0)</f>
        <v/>
      </c>
      <c r="H176">
        <f>IFERROR(VLOOKUP($A176,$A$2:$H$121,8,FALSE),0)</f>
        <v/>
      </c>
    </row>
    <row r="177">
      <c r="A177">
        <f>Obligation!A61</f>
        <v/>
      </c>
      <c r="B177">
        <f>Obligation!B61</f>
        <v/>
      </c>
      <c r="C177">
        <f>IFERROR(VLOOKUP($A177,$A$2:$H$121,3,FALSE),0)</f>
        <v/>
      </c>
      <c r="D177">
        <f>IFERROR(VLOOKUP($A177,$A$2:$H$121,4,FALSE),0)</f>
        <v/>
      </c>
      <c r="E177">
        <f>IFERROR(VLOOKUP($A177,$A$2:$H$121,5,FALSE),0)</f>
        <v/>
      </c>
      <c r="F177">
        <f>IFERROR(VLOOKUP($A177,$A$2:$H$121,6,FALSE),0)</f>
        <v/>
      </c>
      <c r="G177">
        <f>IFERROR(VLOOKUP($A177,$A$2:$H$121,7,FALSE),0)</f>
        <v/>
      </c>
      <c r="H177">
        <f>IFERROR(VLOOKUP($A177,$A$2:$H$121,8,FALSE),0)</f>
        <v/>
      </c>
    </row>
    <row r="178">
      <c r="A178">
        <f>Obligation!A62</f>
        <v/>
      </c>
      <c r="B178">
        <f>Obligation!B62</f>
        <v/>
      </c>
      <c r="C178">
        <f>IFERROR(VLOOKUP($A178,$A$2:$H$121,3,FALSE),0)</f>
        <v/>
      </c>
      <c r="D178">
        <f>IFERROR(VLOOKUP($A178,$A$2:$H$121,4,FALSE),0)</f>
        <v/>
      </c>
      <c r="E178">
        <f>IFERROR(VLOOKUP($A178,$A$2:$H$121,5,FALSE),0)</f>
        <v/>
      </c>
      <c r="F178">
        <f>IFERROR(VLOOKUP($A178,$A$2:$H$121,6,FALSE),0)</f>
        <v/>
      </c>
      <c r="G178">
        <f>IFERROR(VLOOKUP($A178,$A$2:$H$121,7,FALSE),0)</f>
        <v/>
      </c>
      <c r="H178">
        <f>IFERROR(VLOOKUP($A178,$A$2:$H$121,8,FALSE),0)</f>
        <v/>
      </c>
    </row>
    <row r="179">
      <c r="A179">
        <f>Obligation!A63</f>
        <v/>
      </c>
      <c r="B179">
        <f>Obligation!B63</f>
        <v/>
      </c>
      <c r="C179">
        <f>IFERROR(VLOOKUP($A179,$A$2:$H$121,3,FALSE),0)</f>
        <v/>
      </c>
      <c r="D179">
        <f>IFERROR(VLOOKUP($A179,$A$2:$H$121,4,FALSE),0)</f>
        <v/>
      </c>
      <c r="E179">
        <f>IFERROR(VLOOKUP($A179,$A$2:$H$121,5,FALSE),0)</f>
        <v/>
      </c>
      <c r="F179">
        <f>IFERROR(VLOOKUP($A179,$A$2:$H$121,6,FALSE),0)</f>
        <v/>
      </c>
      <c r="G179">
        <f>IFERROR(VLOOKUP($A179,$A$2:$H$121,7,FALSE),0)</f>
        <v/>
      </c>
      <c r="H179">
        <f>IFERROR(VLOOKUP($A179,$A$2:$H$121,8,FALSE),0)</f>
        <v/>
      </c>
    </row>
    <row r="180">
      <c r="A180">
        <f>Obligation!A64</f>
        <v/>
      </c>
      <c r="B180">
        <f>Obligation!B64</f>
        <v/>
      </c>
      <c r="C180">
        <f>IFERROR(VLOOKUP($A180,$A$2:$H$121,3,FALSE),0)</f>
        <v/>
      </c>
      <c r="D180">
        <f>IFERROR(VLOOKUP($A180,$A$2:$H$121,4,FALSE),0)</f>
        <v/>
      </c>
      <c r="E180">
        <f>IFERROR(VLOOKUP($A180,$A$2:$H$121,5,FALSE),0)</f>
        <v/>
      </c>
      <c r="F180">
        <f>IFERROR(VLOOKUP($A180,$A$2:$H$121,6,FALSE),0)</f>
        <v/>
      </c>
      <c r="G180">
        <f>IFERROR(VLOOKUP($A180,$A$2:$H$121,7,FALSE),0)</f>
        <v/>
      </c>
      <c r="H180">
        <f>IFERROR(VLOOKUP($A180,$A$2:$H$121,8,FALSE),0)</f>
        <v/>
      </c>
    </row>
    <row r="181">
      <c r="A181">
        <f>Obligation!A65</f>
        <v/>
      </c>
      <c r="B181">
        <f>Obligation!B65</f>
        <v/>
      </c>
      <c r="C181">
        <f>IFERROR(VLOOKUP($A181,$A$2:$H$121,3,FALSE),0)</f>
        <v/>
      </c>
      <c r="D181">
        <f>IFERROR(VLOOKUP($A181,$A$2:$H$121,4,FALSE),0)</f>
        <v/>
      </c>
      <c r="E181">
        <f>IFERROR(VLOOKUP($A181,$A$2:$H$121,5,FALSE),0)</f>
        <v/>
      </c>
      <c r="F181">
        <f>IFERROR(VLOOKUP($A181,$A$2:$H$121,6,FALSE),0)</f>
        <v/>
      </c>
      <c r="G181">
        <f>IFERROR(VLOOKUP($A181,$A$2:$H$121,7,FALSE),0)</f>
        <v/>
      </c>
      <c r="H181">
        <f>IFERROR(VLOOKUP($A181,$A$2:$H$121,8,FALSE),0)</f>
        <v/>
      </c>
    </row>
    <row r="182">
      <c r="A182">
        <f>Obligation!A66</f>
        <v/>
      </c>
      <c r="B182">
        <f>Obligation!B66</f>
        <v/>
      </c>
      <c r="C182">
        <f>IFERROR(VLOOKUP($A182,$A$2:$H$121,3,FALSE),0)</f>
        <v/>
      </c>
      <c r="D182">
        <f>IFERROR(VLOOKUP($A182,$A$2:$H$121,4,FALSE),0)</f>
        <v/>
      </c>
      <c r="E182">
        <f>IFERROR(VLOOKUP($A182,$A$2:$H$121,5,FALSE),0)</f>
        <v/>
      </c>
      <c r="F182">
        <f>IFERROR(VLOOKUP($A182,$A$2:$H$121,6,FALSE),0)</f>
        <v/>
      </c>
      <c r="G182">
        <f>IFERROR(VLOOKUP($A182,$A$2:$H$121,7,FALSE),0)</f>
        <v/>
      </c>
      <c r="H182">
        <f>IFERROR(VLOOKUP($A182,$A$2:$H$121,8,FALSE),0)</f>
        <v/>
      </c>
    </row>
    <row r="183">
      <c r="A183">
        <f>Obligation!A67</f>
        <v/>
      </c>
      <c r="B183">
        <f>Obligation!B67</f>
        <v/>
      </c>
      <c r="C183">
        <f>IFERROR(VLOOKUP($A183,$A$2:$H$121,3,FALSE),0)</f>
        <v/>
      </c>
      <c r="D183">
        <f>IFERROR(VLOOKUP($A183,$A$2:$H$121,4,FALSE),0)</f>
        <v/>
      </c>
      <c r="E183">
        <f>IFERROR(VLOOKUP($A183,$A$2:$H$121,5,FALSE),0)</f>
        <v/>
      </c>
      <c r="F183">
        <f>IFERROR(VLOOKUP($A183,$A$2:$H$121,6,FALSE),0)</f>
        <v/>
      </c>
      <c r="G183">
        <f>IFERROR(VLOOKUP($A183,$A$2:$H$121,7,FALSE),0)</f>
        <v/>
      </c>
      <c r="H183">
        <f>IFERROR(VLOOKUP($A183,$A$2:$H$121,8,FALSE),0)</f>
        <v/>
      </c>
    </row>
    <row r="184">
      <c r="B184" s="1" t="inlineStr">
        <is>
          <t>base</t>
        </is>
      </c>
      <c r="C184" s="1" t="inlineStr">
        <is>
          <t>parallele_hausse</t>
        </is>
      </c>
      <c r="D184" s="1" t="inlineStr">
        <is>
          <t>parallele_baisse</t>
        </is>
      </c>
      <c r="E184" s="1" t="inlineStr">
        <is>
          <t>pentification</t>
        </is>
      </c>
      <c r="F184" s="1" t="inlineStr">
        <is>
          <t>aplatissement</t>
        </is>
      </c>
      <c r="G184" s="1" t="inlineStr">
        <is>
          <t>court_hausse</t>
        </is>
      </c>
      <c r="H184" s="1" t="inlineStr">
        <is>
          <t>court_baisse</t>
        </is>
      </c>
    </row>
    <row r="185">
      <c r="A185" s="1" t="inlineStr">
        <is>
          <t>Prix sous chaque scénario</t>
        </is>
      </c>
      <c r="B185">
        <f>Obligation!B69</f>
        <v/>
      </c>
      <c r="C185">
        <f>SUMPRODUCT($B$124:$B$183,EXP(-C124:C183/100*$A$124:$A$183))</f>
        <v/>
      </c>
      <c r="D185">
        <f>SUMPRODUCT($B$124:$B$183,EXP(-D124:D183/100*$A$124:$A$183))</f>
        <v/>
      </c>
      <c r="E185">
        <f>SUMPRODUCT($B$124:$B$183,EXP(-E124:E183/100*$A$124:$A$183))</f>
        <v/>
      </c>
      <c r="F185">
        <f>SUMPRODUCT($B$124:$B$183,EXP(-F124:F183/100*$A$124:$A$183))</f>
        <v/>
      </c>
      <c r="G185">
        <f>SUMPRODUCT($B$124:$B$183,EXP(-G124:G183/100*$A$124:$A$183))</f>
        <v/>
      </c>
      <c r="H185">
        <f>SUMPRODUCT($B$124:$B$183,EXP(-H124:H183/100*$A$124:$A$183))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2026-08-29T13:23:57Z</dcterms:created>
  <dcterms:modified xsi:type="dcterms:W3CDTF">2026-08-29T13:23:57Z</dcterms:modified>
</cp:coreProperties>
</file>